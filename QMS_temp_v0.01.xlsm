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defaultThemeVersion="166925"/>
  <mc:AlternateContent xmlns:mc="http://schemas.openxmlformats.org/markup-compatibility/2006">
    <mc:Choice Requires="x15">
      <x15ac:absPath xmlns:x15ac="http://schemas.microsoft.com/office/spreadsheetml/2010/11/ac" url="M:\KOVIGAL\PJM\PMO\QMS\"/>
    </mc:Choice>
  </mc:AlternateContent>
  <xr:revisionPtr revIDLastSave="0" documentId="13_ncr:9_{7995D58B-02F2-408C-92D9-957E347C63D2}" xr6:coauthVersionLast="45" xr6:coauthVersionMax="45" xr10:uidLastSave="{00000000-0000-0000-0000-000000000000}"/>
  <bookViews>
    <workbookView xWindow="-120" yWindow="-120" windowWidth="29040" windowHeight="15840" tabRatio="862" xr2:uid="{00000000-000D-0000-FFFF-FFFF00000000}"/>
  </bookViews>
  <sheets>
    <sheet name="PtFMEA" sheetId="4" r:id="rId1"/>
    <sheet name="DFMEA" sheetId="3" r:id="rId2"/>
    <sheet name="PFMEA" sheetId="1" r:id="rId3"/>
    <sheet name="SFMEA" sheetId="2" r:id="rId4"/>
    <sheet name="SWFMEA" sheetId="6" r:id="rId5"/>
    <sheet name="OFMEA" sheetId="5" r:id="rId6"/>
    <sheet name="Product FMEA" sheetId="7" r:id="rId7"/>
    <sheet name="AAR" sheetId="8" r:id="rId8"/>
    <sheet name="ControlPlan" sheetId="10" r:id="rId9"/>
    <sheet name="APQP" sheetId="12" r:id="rId10"/>
    <sheet name="Open Issues" sheetId="13" r:id="rId11"/>
    <sheet name="Meeting Log" sheetId="14" r:id="rId12"/>
    <sheet name="Definitions" sheetId="15" r:id="rId13"/>
    <sheet name="InternalToolValidation" sheetId="16" r:id="rId14"/>
    <sheet name="InternalToolValidationExplain" sheetId="17" r:id="rId15"/>
    <sheet name="SME" sheetId="18" r:id="rId16"/>
    <sheet name="MSA2" sheetId="20" r:id="rId17"/>
    <sheet name="SIMBOL" sheetId="19" r:id="rId18"/>
    <sheet name="8D-EN" sheetId="22" r:id="rId19"/>
    <sheet name="Instructions" sheetId="23" r:id="rId20"/>
    <sheet name="Pareto" sheetId="21" r:id="rId21"/>
    <sheet name="Failure_Accumulation_Chart" sheetId="25" r:id="rId22"/>
  </sheets>
  <externalReferences>
    <externalReference r:id="rId23"/>
    <externalReference r:id="rId24"/>
    <externalReference r:id="rId25"/>
    <externalReference r:id="rId26"/>
    <externalReference r:id="rId27"/>
  </externalReferences>
  <definedNames>
    <definedName name="Aone" localSheetId="8">OFFSET([1]Calculations!$AF$74,0,0,SUM([1]Calculations!$X$13:$X$13))</definedName>
    <definedName name="Aone" localSheetId="6">OFFSET([2]Calculations!$AF$74,0,0,SUM([2]Calculations!$X$13:$X$13))</definedName>
    <definedName name="Aone">OFFSET([3]Calculations!$AF$74,0,0,SUM([3]Calculations!$X$13:$X$13))</definedName>
    <definedName name="Athree" localSheetId="8">OFFSET([1]Calculations!$AH$74,0,0,SUM([1]Calculations!$X$13:$X$13))</definedName>
    <definedName name="Athree" localSheetId="6">OFFSET([2]Calculations!$AH$74,0,0,SUM([2]Calculations!$X$13:$X$13))</definedName>
    <definedName name="Athree">OFFSET([3]Calculations!$AH$74,0,0,SUM([3]Calculations!$X$13:$X$13))</definedName>
    <definedName name="Atwo" localSheetId="8">OFFSET([1]Calculations!$AG$74,0,0,SUM([1]Calculations!$X$13:$X$13))</definedName>
    <definedName name="Atwo" localSheetId="6">OFFSET([2]Calculations!$AG$74,0,0,SUM([2]Calculations!$X$13:$X$13))</definedName>
    <definedName name="Atwo">OFFSET([3]Calculations!$AG$74,0,0,SUM([3]Calculations!$X$13:$X$13))</definedName>
    <definedName name="AvgTen" localSheetId="8">OFFSET([1]Calculations!$AO$74,0,0,SUM([1]Calculations!$X$13:$X$13))</definedName>
    <definedName name="AvgTen" localSheetId="6">OFFSET([2]Calculations!$AO$74,0,0,SUM([2]Calculations!$X$13:$X$13))</definedName>
    <definedName name="AvgTen">OFFSET([3]Calculations!$AO$74,0,0,SUM([3]Calculations!$X$13:$X$13))</definedName>
    <definedName name="Bone" localSheetId="8">OFFSET([1]Calculations!$AI$74,0,0,SUM([1]Calculations!$X$13:$X$13))</definedName>
    <definedName name="Bone" localSheetId="6">OFFSET([2]Calculations!$AI$74,0,0,SUM([2]Calculations!$X$13:$X$13))</definedName>
    <definedName name="Bone">OFFSET([3]Calculations!$AI$74,0,0,SUM([3]Calculations!$X$13:$X$13))</definedName>
    <definedName name="Bthree" localSheetId="8">OFFSET([1]Calculations!$AK$74,0,0,SUM([1]Calculations!$X$13:$X$13))</definedName>
    <definedName name="Bthree" localSheetId="6">OFFSET([2]Calculations!$AK$74,0,0,SUM([2]Calculations!$X$13:$X$13))</definedName>
    <definedName name="Bthree">OFFSET([3]Calculations!$AK$74,0,0,SUM([3]Calculations!$X$13:$X$13))</definedName>
    <definedName name="Btwo" localSheetId="8">OFFSET([1]Calculations!$AJ$74,0,0,SUM([1]Calculations!$X$13:$X$13))</definedName>
    <definedName name="Btwo" localSheetId="6">OFFSET([2]Calculations!$AJ$74,0,0,SUM([2]Calculations!$X$13:$X$13))</definedName>
    <definedName name="Btwo">OFFSET([3]Calculations!$AJ$74,0,0,SUM([3]Calculations!$X$13:$X$13))</definedName>
    <definedName name="Cone" localSheetId="8">OFFSET([1]Calculations!$AL$74,0,0,SUM([1]Calculations!$X$13:$X$13))</definedName>
    <definedName name="Cone" localSheetId="6">OFFSET([2]Calculations!$AL$74,0,0,SUM([2]Calculations!$X$13:$X$13))</definedName>
    <definedName name="Cone">OFFSET([3]Calculations!$AL$74,0,0,SUM([3]Calculations!$X$13:$X$13))</definedName>
    <definedName name="Cthree" localSheetId="8">OFFSET([1]Calculations!$AN$74,0,0,SUM([1]Calculations!$X$13:$X$13))</definedName>
    <definedName name="Cthree" localSheetId="6">OFFSET([2]Calculations!$AN$74,0,0,SUM([2]Calculations!$X$13:$X$13))</definedName>
    <definedName name="Cthree">OFFSET([3]Calculations!$AN$74,0,0,SUM([3]Calculations!$X$13:$X$13))</definedName>
    <definedName name="Ctwo" localSheetId="8">OFFSET([1]Calculations!$AM$74,0,0,SUM([1]Calculations!$X$13:$X$13))</definedName>
    <definedName name="Ctwo" localSheetId="6">OFFSET([2]Calculations!$AM$74,0,0,SUM([2]Calculations!$X$13:$X$13))</definedName>
    <definedName name="Ctwo">OFFSET([3]Calculations!$AM$74,0,0,SUM([3]Calculations!$X$13:$X$13))</definedName>
    <definedName name="eight" localSheetId="8">OFFSET([1]Calculations!$AZ$72,0,0,SUM([1]Calculations!$X$12))</definedName>
    <definedName name="eight" localSheetId="6">OFFSET([2]Calculations!$AZ$72,0,0,SUM([2]Calculations!$X$12))</definedName>
    <definedName name="eight">OFFSET([3]Calculations!$AZ$72,0,0,SUM([3]Calculations!$X$12))</definedName>
    <definedName name="eighteen" localSheetId="8">OFFSET([1]Calculations!$BJ$72,0,0,SUM([1]Calculations!$X$12))</definedName>
    <definedName name="eighteen" localSheetId="6">OFFSET([2]Calculations!$BJ$72,0,0,SUM([2]Calculations!$X$12))</definedName>
    <definedName name="eighteen">OFFSET([3]Calculations!$BJ$72,0,0,SUM([3]Calculations!$X$12))</definedName>
    <definedName name="eleven" localSheetId="8">OFFSET([1]Calculations!$BC$72,0,0,SUM([1]Calculations!$X$12))</definedName>
    <definedName name="eleven" localSheetId="6">OFFSET([2]Calculations!$BC$72,0,0,SUM([2]Calculations!$X$12))</definedName>
    <definedName name="eleven">OFFSET([3]Calculations!$BC$72,0,0,SUM([3]Calculations!$X$12))</definedName>
    <definedName name="Excel_BuiltIn__FilterDatabase" localSheetId="9">APQP!$W$38:$W$48</definedName>
    <definedName name="Excel_BuiltIn__FilterDatabase" localSheetId="21">Failure_Accumulation_Chart!$A$9:$AK$18</definedName>
    <definedName name="fifteen" localSheetId="8">OFFSET([1]Calculations!$BG$72,0,0,SUM([1]Calculations!$X$12))</definedName>
    <definedName name="fifteen" localSheetId="6">OFFSET([2]Calculations!$BG$72,0,0,SUM([2]Calculations!$X$12))</definedName>
    <definedName name="fifteen">OFFSET([3]Calculations!$BG$72,0,0,SUM([3]Calculations!$X$12))</definedName>
    <definedName name="five" localSheetId="8">OFFSET([1]Calculations!$AW$72,0,0,SUM([1]Calculations!$X$12))</definedName>
    <definedName name="five" localSheetId="6">OFFSET([2]Calculations!$AW$72,0,0,SUM([2]Calculations!$X$12))</definedName>
    <definedName name="five">OFFSET([3]Calculations!$AW$72,0,0,SUM([3]Calculations!$X$12))</definedName>
    <definedName name="four" localSheetId="8">OFFSET([1]Calculations!$AV$72,0,0,SUM([1]Calculations!$X$12))</definedName>
    <definedName name="four" localSheetId="6">OFFSET([2]Calculations!$AV$72,0,0,SUM([2]Calculations!$X$12))</definedName>
    <definedName name="four">OFFSET([3]Calculations!$AV$72,0,0,SUM([3]Calculations!$X$12))</definedName>
    <definedName name="fourteen" localSheetId="8">OFFSET([1]Calculations!$BF$72,0,0,SUM([1]Calculations!$X$12))</definedName>
    <definedName name="fourteen" localSheetId="6">OFFSET([2]Calculations!$BF$72,0,0,SUM([2]Calculations!$X$12))</definedName>
    <definedName name="fourteen">OFFSET([3]Calculations!$BF$72,0,0,SUM([3]Calculations!$X$12))</definedName>
    <definedName name="LCLx" localSheetId="8">OFFSET([1]Calculations!$Y$108,0,0,SUM([1]Calculations!$AC$111:$AC$111))</definedName>
    <definedName name="LCLx" localSheetId="6">OFFSET([2]Calculations!$Y$108,0,0,SUM([2]Calculations!$AC$111:$AC$111))</definedName>
    <definedName name="LCLx">OFFSET([3]Calculations!$Y$108,0,0,SUM([3]Calculations!$AC$111:$AC$111))</definedName>
    <definedName name="nine" localSheetId="8">OFFSET([1]Calculations!$BA$72,0,0,SUM([1]Calculations!$X$12))</definedName>
    <definedName name="nine" localSheetId="6">OFFSET([2]Calculations!$BA$72,0,0,SUM([2]Calculations!$X$12))</definedName>
    <definedName name="nine">OFFSET([3]Calculations!$BA$72,0,0,SUM([3]Calculations!$X$12))</definedName>
    <definedName name="nineteen" localSheetId="8">OFFSET([1]Calculations!$BK$72,0,0,SUM([1]Calculations!$X$12))</definedName>
    <definedName name="nineteen" localSheetId="6">OFFSET([2]Calculations!$BK$72,0,0,SUM([2]Calculations!$X$12))</definedName>
    <definedName name="nineteen">OFFSET([3]Calculations!$BK$72,0,0,SUM([3]Calculations!$X$12))</definedName>
    <definedName name="one" localSheetId="8">OFFSET([1]Calculations!$AS$72,0,0,SUM([1]Calculations!$X$12))</definedName>
    <definedName name="one" localSheetId="6">OFFSET([2]Calculations!$AS$72,0,0,SUM([2]Calculations!$X$12))</definedName>
    <definedName name="one">OFFSET([3]Calculations!$AS$72,0,0,SUM([3]Calculations!$X$12))</definedName>
    <definedName name="OpA" localSheetId="8">OFFSET([1]Calculations!$AO$84,0,0,SUM([1]Calculations!$X$13:$X$13))</definedName>
    <definedName name="OpA" localSheetId="6">OFFSET([2]Calculations!$AO$84,0,0,SUM([2]Calculations!$X$13:$X$13))</definedName>
    <definedName name="OpA">OFFSET([3]Calculations!$AO$84,0,0,SUM([3]Calculations!$X$13:$X$13))</definedName>
    <definedName name="OpB" localSheetId="8">OFFSET([1]Calculations!$AP$84,0,0,SUM([1]Calculations!$X$13:$X$13))</definedName>
    <definedName name="OpB" localSheetId="6">OFFSET([2]Calculations!$AP$84,0,0,SUM([2]Calculations!$X$13:$X$13))</definedName>
    <definedName name="OpB">OFFSET([3]Calculations!$AP$84,0,0,SUM([3]Calculations!$X$13:$X$13))</definedName>
    <definedName name="OpC" localSheetId="8">OFFSET([1]Calculations!$AQ$84,0,0,SUM([1]Calculations!$X$13:$X$13))</definedName>
    <definedName name="OpC" localSheetId="6">OFFSET([2]Calculations!$AQ$84,0,0,SUM([2]Calculations!$X$13:$X$13))</definedName>
    <definedName name="OpC">OFFSET([3]Calculations!$AQ$84,0,0,SUM([3]Calculations!$X$13:$X$13))</definedName>
    <definedName name="OperatorA" localSheetId="8">OFFSET([1]Calculations!$O$108,0,0,SUM([1]Calculations!$AC$111:$AC$111))</definedName>
    <definedName name="OperatorA" localSheetId="6">OFFSET([2]Calculations!$O$108,0,0,SUM([2]Calculations!$AC$111:$AC$111))</definedName>
    <definedName name="OperatorA">OFFSET([3]Calculations!$O$108,0,0,SUM([3]Calculations!$AC$111:$AC$111))</definedName>
    <definedName name="OperatorA_R" localSheetId="8">OFFSET([1]Calculations!$R$108,0,0,SUM([1]Calculations!$AC$111:$AC$111))</definedName>
    <definedName name="OperatorA_R" localSheetId="6">OFFSET([2]Calculations!$R$108,0,0,SUM([2]Calculations!$AC$111:$AC$111))</definedName>
    <definedName name="OperatorA_R">OFFSET([3]Calculations!$R$108,0,0,SUM([3]Calculations!$AC$111:$AC$111))</definedName>
    <definedName name="OperatorB" localSheetId="8">OFFSET([1]Calculations!$P$108,0,0,SUM([1]Calculations!$AC$111:$AC$111))</definedName>
    <definedName name="OperatorB" localSheetId="6">OFFSET([2]Calculations!$P$108,0,0,SUM([2]Calculations!$AC$111:$AC$111))</definedName>
    <definedName name="OperatorB">OFFSET([3]Calculations!$P$108,0,0,SUM([3]Calculations!$AC$111:$AC$111))</definedName>
    <definedName name="OperatorB_R" localSheetId="8">OFFSET([1]Calculations!$S$108,0,0,SUM([1]Calculations!$AC$111:$AC$111))</definedName>
    <definedName name="OperatorB_R" localSheetId="6">OFFSET([2]Calculations!$S$108,0,0,SUM([2]Calculations!$AC$111:$AC$111))</definedName>
    <definedName name="OperatorB_R">OFFSET([3]Calculations!$S$108,0,0,SUM([3]Calculations!$AC$111:$AC$111))</definedName>
    <definedName name="OperatorC" localSheetId="8">OFFSET([1]Calculations!$Q$108,0,0,SUM([1]Calculations!$AC$111:$AC$111))</definedName>
    <definedName name="OperatorC" localSheetId="6">OFFSET([2]Calculations!$Q$108,0,0,SUM([2]Calculations!$AC$111:$AC$111))</definedName>
    <definedName name="OperatorC">OFFSET([3]Calculations!$Q$108,0,0,SUM([3]Calculations!$AC$111:$AC$111))</definedName>
    <definedName name="OperatorC_R" localSheetId="8">OFFSET([1]Calculations!$T$108,0,0,SUM([1]Calculations!$AC$111:$AC$111))</definedName>
    <definedName name="OperatorC_R" localSheetId="6">OFFSET([2]Calculations!$T$108,0,0,SUM([2]Calculations!$AC$111:$AC$111))</definedName>
    <definedName name="OperatorC_R">OFFSET([3]Calculations!$T$108,0,0,SUM([3]Calculations!$AC$111:$AC$111))</definedName>
    <definedName name="_xlnm.Print_Area" localSheetId="18">'8D-EN'!$A$1:$N$92</definedName>
    <definedName name="_xlnm.Print_Area" localSheetId="8">ControlPlan!$A$1:$M$27</definedName>
    <definedName name="_xlnm.Print_Area" localSheetId="12">Definitions!$B$1:$W$8</definedName>
    <definedName name="_xlnm.Print_Area" localSheetId="1">DFMEA!$A$1:$U$16</definedName>
    <definedName name="_xlnm.Print_Area" localSheetId="21">Failure_Accumulation_Chart!$A$1:$AN$35</definedName>
    <definedName name="_xlnm.Print_Area" localSheetId="19">Instructions!$A$1:$L$57</definedName>
    <definedName name="_xlnm.Print_Area" localSheetId="11">'Meeting Log'!$A$1:$L$11</definedName>
    <definedName name="_xlnm.Print_Area" localSheetId="5">OFMEA!$A$1:$U$44</definedName>
    <definedName name="_xlnm.Print_Area" localSheetId="10">'Open Issues'!$B$1:$H$25</definedName>
    <definedName name="_xlnm.Print_Area" localSheetId="2">PFMEA!$A$1:$U$16</definedName>
    <definedName name="_xlnm.Print_Area" localSheetId="6">'Product FMEA'!$A$1:$T$103</definedName>
    <definedName name="_xlnm.Print_Area" localSheetId="0">PtFMEA!$A$1:$U$41</definedName>
    <definedName name="_xlnm.Print_Area" localSheetId="3">SFMEA!$A$1:$U$18</definedName>
    <definedName name="_xlnm.Print_Area" localSheetId="4">SWFMEA!$A$1:$U$27</definedName>
    <definedName name="Rbar" localSheetId="8">OFFSET([1]Calculations!$W$108,0,0,SUM([1]Calculations!$AC$111:$AC$111))</definedName>
    <definedName name="Rbar" localSheetId="6">OFFSET([2]Calculations!$W$108,0,0,SUM([2]Calculations!$AC$111:$AC$111))</definedName>
    <definedName name="Rbar">OFFSET([3]Calculations!$W$108,0,0,SUM([3]Calculations!$AC$111:$AC$111))</definedName>
    <definedName name="seven" localSheetId="8">OFFSET([1]Calculations!$AY$72,0,0,SUM([1]Calculations!$X$12))</definedName>
    <definedName name="seven" localSheetId="6">OFFSET([2]Calculations!$AY$72,0,0,SUM([2]Calculations!$X$12))</definedName>
    <definedName name="seven">OFFSET([3]Calculations!$AY$72,0,0,SUM([3]Calculations!$X$12))</definedName>
    <definedName name="seventeen" localSheetId="8">OFFSET([1]Calculations!$BI$72,0,0,SUM([1]Calculations!$X$12))</definedName>
    <definedName name="seventeen" localSheetId="6">OFFSET([2]Calculations!$BI$72,0,0,SUM([2]Calculations!$X$12))</definedName>
    <definedName name="seventeen">OFFSET([3]Calculations!$BI$72,0,0,SUM([3]Calculations!$X$12))</definedName>
    <definedName name="six" localSheetId="8">OFFSET([1]Calculations!$AX$72,0,0,SUM([1]Calculations!$X$12))</definedName>
    <definedName name="six" localSheetId="6">OFFSET([2]Calculations!$AX$72,0,0,SUM([2]Calculations!$X$12))</definedName>
    <definedName name="six">OFFSET([3]Calculations!$AX$72,0,0,SUM([3]Calculations!$X$12))</definedName>
    <definedName name="sixteen" localSheetId="8">OFFSET([1]Calculations!$BH$72,0,0,SUM([1]Calculations!$X$12))</definedName>
    <definedName name="sixteen" localSheetId="6">OFFSET([2]Calculations!$BH$72,0,0,SUM([2]Calculations!$X$12))</definedName>
    <definedName name="sixteen">OFFSET([3]Calculations!$BH$72,0,0,SUM([3]Calculations!$X$12))</definedName>
    <definedName name="Sname" localSheetId="6">#REF!</definedName>
    <definedName name="Sname">#REF!</definedName>
    <definedName name="target" localSheetId="6">[4]!target</definedName>
    <definedName name="target">[5]!target</definedName>
    <definedName name="targets" localSheetId="6">[4]!targets</definedName>
    <definedName name="targets">[5]!targets</definedName>
    <definedName name="ten" localSheetId="8">OFFSET([1]Calculations!$BB$72,0,0,SUM([1]Calculations!$X$12))</definedName>
    <definedName name="ten" localSheetId="6">OFFSET([2]Calculations!$BB$72,0,0,SUM([2]Calculations!$X$12))</definedName>
    <definedName name="ten">OFFSET([3]Calculations!$BB$72,0,0,SUM([3]Calculations!$X$12))</definedName>
    <definedName name="thirteen" localSheetId="8">OFFSET([1]Calculations!$BE$72,0,0,SUM([1]Calculations!$X$12))</definedName>
    <definedName name="thirteen" localSheetId="6">OFFSET([2]Calculations!$BE$72,0,0,SUM([2]Calculations!$X$12))</definedName>
    <definedName name="thirteen">OFFSET([3]Calculations!$BE$72,0,0,SUM([3]Calculations!$X$12))</definedName>
    <definedName name="thirty" localSheetId="8">OFFSET([1]Calculations!$BV$72,0,0,SUM([1]Calculations!$X$12))</definedName>
    <definedName name="thirty" localSheetId="6">OFFSET([2]Calculations!$BV$72,0,0,SUM([2]Calculations!$X$12))</definedName>
    <definedName name="thirty">OFFSET([3]Calculations!$BV$72,0,0,SUM([3]Calculations!$X$12))</definedName>
    <definedName name="thirtyone" localSheetId="8">OFFSET([1]Calculations!$BW$72,0,0,SUM([1]Calculations!$X$12))</definedName>
    <definedName name="thirtyone" localSheetId="6">OFFSET([2]Calculations!$BW$72,0,0,SUM([2]Calculations!$X$12))</definedName>
    <definedName name="thirtyone">OFFSET([3]Calculations!$BW$72,0,0,SUM([3]Calculations!$X$12))</definedName>
    <definedName name="three" localSheetId="8">OFFSET([1]Calculations!$AU$72,0,0,SUM([1]Calculations!$X$12))</definedName>
    <definedName name="three" localSheetId="6">OFFSET([2]Calculations!$AU$72,0,0,SUM([2]Calculations!$X$12))</definedName>
    <definedName name="three">OFFSET([3]Calculations!$AU$72,0,0,SUM([3]Calculations!$X$12))</definedName>
    <definedName name="twelve" localSheetId="8">OFFSET([1]Calculations!$BD$72,0,0,SUM([1]Calculations!$X$12))</definedName>
    <definedName name="twelve" localSheetId="6">OFFSET([2]Calculations!$BD$72,0,0,SUM([2]Calculations!$X$12))</definedName>
    <definedName name="twelve">OFFSET([3]Calculations!$BD$72,0,0,SUM([3]Calculations!$X$12))</definedName>
    <definedName name="twenty" localSheetId="8">OFFSET([1]Calculations!$BL$72,0,0,SUM([1]Calculations!$X$12))</definedName>
    <definedName name="twenty" localSheetId="6">OFFSET([2]Calculations!$BL$72,0,0,SUM([2]Calculations!$X$12))</definedName>
    <definedName name="twenty">OFFSET([3]Calculations!$BL$72,0,0,SUM([3]Calculations!$X$12))</definedName>
    <definedName name="twentyeight" localSheetId="8">OFFSET([1]Calculations!$BT$72,0,0,SUM([1]Calculations!$X$12))</definedName>
    <definedName name="twentyeight" localSheetId="6">OFFSET([2]Calculations!$BT$72,0,0,SUM([2]Calculations!$X$12))</definedName>
    <definedName name="twentyeight">OFFSET([3]Calculations!$BT$72,0,0,SUM([3]Calculations!$X$12))</definedName>
    <definedName name="twentyfive" localSheetId="8">OFFSET([1]Calculations!$BQ$72,0,0,SUM([1]Calculations!$X$12))</definedName>
    <definedName name="twentyfive" localSheetId="6">OFFSET([2]Calculations!$BQ$72,0,0,SUM([2]Calculations!$X$12))</definedName>
    <definedName name="twentyfive">OFFSET([3]Calculations!$BQ$72,0,0,SUM([3]Calculations!$X$12))</definedName>
    <definedName name="twentyfour" localSheetId="8">OFFSET([1]Calculations!$BP$72,0,0,SUM([1]Calculations!$X$12))</definedName>
    <definedName name="twentyfour" localSheetId="6">OFFSET([2]Calculations!$BP$72,0,0,SUM([2]Calculations!$X$12))</definedName>
    <definedName name="twentyfour">OFFSET([3]Calculations!$BP$72,0,0,SUM([3]Calculations!$X$12))</definedName>
    <definedName name="twentynine" localSheetId="8">OFFSET([1]Calculations!$BU$72,0,0,SUM([1]Calculations!$X$12))</definedName>
    <definedName name="twentynine" localSheetId="6">OFFSET([2]Calculations!$BU$72,0,0,SUM([2]Calculations!$X$12))</definedName>
    <definedName name="twentynine">OFFSET([3]Calculations!$BU$72,0,0,SUM([3]Calculations!$X$12))</definedName>
    <definedName name="twentyone" localSheetId="8">OFFSET([1]Calculations!$BM$72,0,0,SUM([1]Calculations!$X$12))</definedName>
    <definedName name="twentyone" localSheetId="6">OFFSET([2]Calculations!$BM$72,0,0,SUM([2]Calculations!$X$12))</definedName>
    <definedName name="twentyone">OFFSET([3]Calculations!$BM$72,0,0,SUM([3]Calculations!$X$12))</definedName>
    <definedName name="twentyseven" localSheetId="8">OFFSET([1]Calculations!$BS$72,0,0,SUM([1]Calculations!$X$12))</definedName>
    <definedName name="twentyseven" localSheetId="6">OFFSET([2]Calculations!$BS$72,0,0,SUM([2]Calculations!$X$12))</definedName>
    <definedName name="twentyseven">OFFSET([3]Calculations!$BS$72,0,0,SUM([3]Calculations!$X$12))</definedName>
    <definedName name="twentysix" localSheetId="8">OFFSET([1]Calculations!$BR$72,0,0,SUM([1]Calculations!$X$12))</definedName>
    <definedName name="twentysix" localSheetId="6">OFFSET([2]Calculations!$BR$72,0,0,SUM([2]Calculations!$X$12))</definedName>
    <definedName name="twentysix">OFFSET([3]Calculations!$BR$72,0,0,SUM([3]Calculations!$X$12))</definedName>
    <definedName name="twentythree" localSheetId="8">OFFSET([1]Calculations!$BO$72,0,0,SUM([1]Calculations!$X$12))</definedName>
    <definedName name="twentythree" localSheetId="6">OFFSET([2]Calculations!$BO$72,0,0,SUM([2]Calculations!$X$12))</definedName>
    <definedName name="twentythree">OFFSET([3]Calculations!$BO$72,0,0,SUM([3]Calculations!$X$12))</definedName>
    <definedName name="twentytwo" localSheetId="8">OFFSET([1]Calculations!$BN$72,0,0,SUM([1]Calculations!$X$12))</definedName>
    <definedName name="twentytwo" localSheetId="6">OFFSET([2]Calculations!$BN$72,0,0,SUM([2]Calculations!$X$12))</definedName>
    <definedName name="twentytwo">OFFSET([3]Calculations!$BN$72,0,0,SUM([3]Calculations!$X$12))</definedName>
    <definedName name="two" localSheetId="8">OFFSET([1]Calculations!$AT$72,0,0,SUM([1]Calculations!$X$12))</definedName>
    <definedName name="two" localSheetId="6">OFFSET([2]Calculations!$AT$72,0,0,SUM([2]Calculations!$X$12))</definedName>
    <definedName name="two">OFFSET([3]Calculations!$AT$72,0,0,SUM([3]Calculations!$X$12))</definedName>
    <definedName name="UCLr" localSheetId="8">OFFSET([1]Calculations!$Z$108,0,0,SUM([1]Calculations!$AC$111:$AC$111))</definedName>
    <definedName name="UCLr" localSheetId="6">OFFSET([2]Calculations!$Z$108,0,0,SUM([2]Calculations!$AC$111:$AC$111))</definedName>
    <definedName name="UCLr">OFFSET([3]Calculations!$Z$108,0,0,SUM([3]Calculations!$AC$111:$AC$111))</definedName>
    <definedName name="UCLx" localSheetId="8">OFFSET([1]Calculations!$X$108,0,0,SUM([1]Calculations!$AC$111:$AC$111))</definedName>
    <definedName name="UCLx" localSheetId="6">OFFSET([2]Calculations!$X$108,0,0,SUM([2]Calculations!$AC$111:$AC$111))</definedName>
    <definedName name="UCLx">OFFSET([3]Calculations!$X$108,0,0,SUM([3]Calculations!$AC$111:$AC$111))</definedName>
    <definedName name="Xaxis" localSheetId="8">OFFSET([1]Calculations!$N$108,0,0,SUM([1]Calculations!$AC$111:$AC$111))</definedName>
    <definedName name="Xaxis" localSheetId="6">OFFSET([2]Calculations!$N$108,0,0,SUM([2]Calculations!$AC$111:$AC$111))</definedName>
    <definedName name="Xaxis">OFFSET([3]Calculations!$N$108,0,0,SUM([3]Calculations!$AC$111:$AC$111))</definedName>
    <definedName name="Xbarbar" localSheetId="8">OFFSET([1]Calculations!$V$108,0,0,SUM([1]Calculations!$AC$111:$AC$111))</definedName>
    <definedName name="Xbarbar" localSheetId="6">OFFSET([2]Calculations!$V$108,0,0,SUM([2]Calculations!$AC$111:$AC$111))</definedName>
    <definedName name="Xbarbar">OFFSET([3]Calculations!$V$108,0,0,SUM([3]Calculations!$AC$111:$AC$111))</definedName>
    <definedName name="Z_B7EBDD6B_DBE1_4AB4_B69E_E9DA0E6BC748_.wvu.FilterData" localSheetId="21">Failure_Accumulation_Chart!$A$9:$AK$18</definedName>
    <definedName name="Z_B7EBDD6B_DBE1_4AB4_B69E_E9DA0E6BC748_.wvu.PrintArea" localSheetId="21">Failure_Accumulation_Chart!$A$9:$AN$34</definedName>
    <definedName name="zero" localSheetId="8">OFFSET([1]Calculations!$AR$72,0,0,SUM([1]Calculations!$X$12))</definedName>
    <definedName name="zero" localSheetId="6">OFFSET([2]Calculations!$AR$72,0,0,SUM([2]Calculations!$X$12))</definedName>
    <definedName name="zero">OFFSET([3]Calculations!$AR$72,0,0,SUM([3]Calculations!$X$12))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25" l="1"/>
  <c r="F13" i="25"/>
  <c r="E15" i="25"/>
  <c r="F15" i="25"/>
  <c r="E16" i="25"/>
  <c r="AJ16" i="25" l="1"/>
  <c r="AI16" i="25"/>
  <c r="AH16" i="25"/>
  <c r="AG16" i="25"/>
  <c r="AF16" i="25"/>
  <c r="AE16" i="25"/>
  <c r="AD16" i="25"/>
  <c r="AC16" i="25"/>
  <c r="AB16" i="25"/>
  <c r="AA16" i="25"/>
  <c r="Z16" i="25"/>
  <c r="Y16" i="25"/>
  <c r="X16" i="25"/>
  <c r="V16" i="25"/>
  <c r="U16" i="25"/>
  <c r="T16" i="25"/>
  <c r="S16" i="25"/>
  <c r="R16" i="25"/>
  <c r="Q16" i="25"/>
  <c r="P16" i="25"/>
  <c r="O16" i="25"/>
  <c r="N16" i="25"/>
  <c r="M16" i="25"/>
  <c r="L16" i="25"/>
  <c r="K16" i="25"/>
  <c r="J16" i="25"/>
  <c r="I16" i="25"/>
  <c r="H16" i="25"/>
  <c r="G16" i="25"/>
  <c r="D16" i="25"/>
  <c r="J15" i="25"/>
  <c r="AK14" i="25"/>
  <c r="AJ13" i="25"/>
  <c r="AI13" i="25"/>
  <c r="AH13" i="25"/>
  <c r="AG13" i="25"/>
  <c r="AF13" i="25"/>
  <c r="AE13" i="25"/>
  <c r="AD13" i="25"/>
  <c r="AC13" i="25"/>
  <c r="AB13" i="25"/>
  <c r="AA13" i="25"/>
  <c r="Z13" i="25"/>
  <c r="Y13" i="25"/>
  <c r="X13" i="25"/>
  <c r="X15" i="25" s="1"/>
  <c r="W13" i="25"/>
  <c r="V13" i="25"/>
  <c r="V15" i="25" s="1"/>
  <c r="U13" i="25"/>
  <c r="U15" i="25" s="1"/>
  <c r="T13" i="25"/>
  <c r="T15" i="25" s="1"/>
  <c r="S13" i="25"/>
  <c r="S15" i="25" s="1"/>
  <c r="R13" i="25"/>
  <c r="R15" i="25" s="1"/>
  <c r="Q13" i="25"/>
  <c r="Q15" i="25" s="1"/>
  <c r="P13" i="25"/>
  <c r="P15" i="25" s="1"/>
  <c r="O13" i="25"/>
  <c r="O15" i="25" s="1"/>
  <c r="N13" i="25"/>
  <c r="N15" i="25" s="1"/>
  <c r="M13" i="25"/>
  <c r="M15" i="25" s="1"/>
  <c r="L13" i="25"/>
  <c r="L15" i="25" s="1"/>
  <c r="K13" i="25"/>
  <c r="K15" i="25" s="1"/>
  <c r="J13" i="25"/>
  <c r="I13" i="25"/>
  <c r="I15" i="25" s="1"/>
  <c r="H13" i="25"/>
  <c r="H15" i="25" s="1"/>
  <c r="G13" i="25"/>
  <c r="G15" i="25" s="1"/>
  <c r="D13" i="25"/>
  <c r="D15" i="25" s="1"/>
  <c r="AK12" i="25"/>
  <c r="AK11" i="25"/>
  <c r="AK10" i="25"/>
  <c r="AK13" i="25" l="1"/>
  <c r="AK15" i="25" l="1"/>
  <c r="AL12" i="25"/>
  <c r="AL10" i="25"/>
  <c r="B6" i="21" l="1"/>
  <c r="E6" i="21" s="1"/>
  <c r="C6" i="21" l="1"/>
  <c r="M15" i="7" l="1"/>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2" i="7"/>
  <c r="M13" i="7"/>
  <c r="M14" i="7"/>
  <c r="T103" i="7"/>
  <c r="M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U27" i="6" l="1"/>
  <c r="M27" i="6"/>
  <c r="U26" i="6"/>
  <c r="M26" i="6"/>
  <c r="U25" i="6"/>
  <c r="M25" i="6"/>
  <c r="U24" i="6"/>
  <c r="M24" i="6"/>
  <c r="U23" i="6"/>
  <c r="M23" i="6"/>
  <c r="U22" i="6"/>
  <c r="M22" i="6"/>
  <c r="U21" i="6"/>
  <c r="M21" i="6"/>
  <c r="U20" i="6"/>
  <c r="M20" i="6"/>
  <c r="U19" i="6"/>
  <c r="M19" i="6"/>
  <c r="U18" i="6"/>
  <c r="M18" i="6"/>
  <c r="U17" i="6"/>
  <c r="M17" i="6"/>
  <c r="U16" i="6"/>
  <c r="M16" i="6"/>
  <c r="U15" i="6"/>
  <c r="M15" i="6"/>
  <c r="U14" i="6"/>
  <c r="M14" i="6"/>
  <c r="U13" i="6"/>
  <c r="M13" i="6"/>
  <c r="U12" i="6"/>
  <c r="M12" i="6"/>
  <c r="U11" i="6"/>
  <c r="M11" i="6"/>
  <c r="U10" i="6"/>
  <c r="M10" i="6"/>
  <c r="U9" i="6"/>
  <c r="M9" i="6"/>
  <c r="U44" i="5"/>
  <c r="M44" i="5"/>
  <c r="U43" i="5"/>
  <c r="M43" i="5"/>
  <c r="U42" i="5"/>
  <c r="M42" i="5"/>
  <c r="U41" i="5"/>
  <c r="M41" i="5"/>
  <c r="U40" i="5"/>
  <c r="M40" i="5"/>
  <c r="U39" i="5"/>
  <c r="M39" i="5"/>
  <c r="U38" i="5"/>
  <c r="M38" i="5"/>
  <c r="U37" i="5"/>
  <c r="M37" i="5"/>
  <c r="U36" i="5"/>
  <c r="M36" i="5"/>
  <c r="U35" i="5"/>
  <c r="M35" i="5"/>
  <c r="U34" i="5"/>
  <c r="M34" i="5"/>
  <c r="U33" i="5"/>
  <c r="M33" i="5"/>
  <c r="U32" i="5"/>
  <c r="M32" i="5"/>
  <c r="U31" i="5"/>
  <c r="M31" i="5"/>
  <c r="U30" i="5"/>
  <c r="M30" i="5"/>
  <c r="U29" i="5"/>
  <c r="M29" i="5"/>
  <c r="U28" i="5"/>
  <c r="M28" i="5"/>
  <c r="U27" i="5"/>
  <c r="M27" i="5"/>
  <c r="U26" i="5"/>
  <c r="M26" i="5"/>
  <c r="U25" i="5"/>
  <c r="M25" i="5"/>
  <c r="U24" i="5"/>
  <c r="M24" i="5"/>
  <c r="U23" i="5"/>
  <c r="M23" i="5"/>
  <c r="U22" i="5"/>
  <c r="M22" i="5"/>
  <c r="U21" i="5"/>
  <c r="M21" i="5"/>
  <c r="U20" i="5"/>
  <c r="M20" i="5"/>
  <c r="U19" i="5"/>
  <c r="M19" i="5"/>
  <c r="U18" i="5"/>
  <c r="M18" i="5"/>
  <c r="U17" i="5"/>
  <c r="M17" i="5"/>
  <c r="U16" i="5"/>
  <c r="M16" i="5"/>
  <c r="U15" i="5"/>
  <c r="M15" i="5"/>
  <c r="U14" i="5"/>
  <c r="M14" i="5"/>
  <c r="U13" i="5"/>
  <c r="M13" i="5"/>
  <c r="U12" i="5"/>
  <c r="M12" i="5"/>
  <c r="U11" i="5"/>
  <c r="M11" i="5"/>
  <c r="U10" i="5"/>
  <c r="M10" i="5"/>
  <c r="U9" i="5"/>
  <c r="M9" i="5"/>
  <c r="U41" i="4"/>
  <c r="M41" i="4"/>
  <c r="U40" i="4"/>
  <c r="M40" i="4"/>
  <c r="U39" i="4"/>
  <c r="M39" i="4"/>
  <c r="U38" i="4"/>
  <c r="M38" i="4"/>
  <c r="U37" i="4"/>
  <c r="M37" i="4"/>
  <c r="U36" i="4"/>
  <c r="M36" i="4"/>
  <c r="U16" i="3"/>
  <c r="M16" i="3"/>
  <c r="U15" i="3"/>
  <c r="M15" i="3"/>
  <c r="U14" i="3"/>
  <c r="M14" i="3"/>
  <c r="U13" i="3"/>
  <c r="M13" i="3"/>
  <c r="U12" i="3"/>
  <c r="M12" i="3"/>
  <c r="U11" i="3"/>
  <c r="M11" i="3"/>
  <c r="U10" i="3"/>
  <c r="M10" i="3"/>
  <c r="U9" i="3"/>
  <c r="M9" i="3"/>
  <c r="U18" i="2"/>
  <c r="M18" i="2"/>
  <c r="U17" i="2"/>
  <c r="M17" i="2"/>
  <c r="U16" i="2"/>
  <c r="M16" i="2"/>
  <c r="U15" i="2"/>
  <c r="M15" i="2"/>
  <c r="U14" i="2"/>
  <c r="M14" i="2"/>
  <c r="U13" i="2"/>
  <c r="M13" i="2"/>
  <c r="U12" i="2"/>
  <c r="M12" i="2"/>
  <c r="U11" i="2"/>
  <c r="M11" i="2"/>
  <c r="U10" i="2"/>
  <c r="M10" i="2"/>
  <c r="U9" i="2"/>
  <c r="M9" i="2"/>
  <c r="U16" i="1" l="1"/>
  <c r="M16" i="1"/>
  <c r="U15" i="1"/>
  <c r="M15" i="1"/>
  <c r="U14" i="1"/>
  <c r="M14" i="1"/>
  <c r="U13" i="1"/>
  <c r="M13" i="1"/>
  <c r="U12" i="1"/>
  <c r="M12" i="1"/>
  <c r="U11" i="1"/>
  <c r="M11" i="1"/>
  <c r="U10" i="1"/>
  <c r="M10" i="1"/>
  <c r="U9" i="1"/>
  <c r="M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8" authorId="0" shapeId="0" xr:uid="{8E0CCFA0-D241-446F-95DF-720A11C56B24}">
      <text>
        <r>
          <rPr>
            <sz val="12"/>
            <color indexed="8"/>
            <rFont val="Tahoma"/>
            <family val="2"/>
            <charset val="238"/>
          </rPr>
          <t xml:space="preserve">APQP Team Participants; Supplier, Sub-tier Suppliers, and BorgWarner Personnel, including all affected Plants.
</t>
        </r>
      </text>
    </comment>
    <comment ref="P25" authorId="0" shapeId="0" xr:uid="{07819562-31F0-4FEE-8324-C1AD1AA80918}">
      <text>
        <r>
          <rPr>
            <sz val="12"/>
            <color indexed="8"/>
            <rFont val="Tahoma"/>
            <family val="2"/>
            <charset val="238"/>
          </rPr>
          <t xml:space="preserve">Define the Number of Special Characteristics that may be customer specific including: 
• "Significant"
• "Major"
• "Critical"
• "High Impact"
that requires on-going statistical capability and/or requires validation in the Process Control Plan.
</t>
        </r>
      </text>
    </comment>
    <comment ref="L35" authorId="0" shapeId="0" xr:uid="{74BDA7E3-FA96-416C-A47B-06D52EA871F4}">
      <text>
        <r>
          <rPr>
            <b/>
            <sz val="12"/>
            <color indexed="8"/>
            <rFont val="Tahoma"/>
            <family val="2"/>
            <charset val="238"/>
          </rPr>
          <t xml:space="preserve">Status = Green, Yellow or Red as defined in definitions tab.
</t>
        </r>
      </text>
    </comment>
    <comment ref="R35" authorId="0" shapeId="0" xr:uid="{72FA99E9-5763-4072-B208-5D1E8972B112}">
      <text>
        <r>
          <rPr>
            <sz val="12"/>
            <color indexed="8"/>
            <rFont val="Tahoma"/>
            <family val="2"/>
            <charset val="238"/>
          </rPr>
          <t xml:space="preserve">The current revision &amp; date for the applicable document 
</t>
        </r>
      </text>
    </comment>
    <comment ref="S35" authorId="0" shapeId="0" xr:uid="{BCA6787D-446C-4406-8AB6-91683B91A458}">
      <text>
        <r>
          <rPr>
            <sz val="12"/>
            <color indexed="8"/>
            <rFont val="Tahoma"/>
            <family val="2"/>
            <charset val="238"/>
          </rPr>
          <t xml:space="preserve">Contingency plans are required for any element that has a yellow or red status.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H2" authorId="0" shapeId="0" xr:uid="{2A4C4CBE-EE81-4D99-9D93-FBD19519BA89}">
      <text>
        <r>
          <rPr>
            <b/>
            <sz val="9"/>
            <color indexed="8"/>
            <rFont val="Tahoma"/>
            <family val="2"/>
            <charset val="238"/>
          </rPr>
          <t xml:space="preserve">Open / Closed
</t>
        </r>
      </text>
    </comment>
  </commentList>
</comments>
</file>

<file path=xl/sharedStrings.xml><?xml version="1.0" encoding="utf-8"?>
<sst xmlns="http://schemas.openxmlformats.org/spreadsheetml/2006/main" count="790" uniqueCount="542">
  <si>
    <t>Process Failure Mode and Effect Analysis (PFMEA)</t>
  </si>
  <si>
    <t xml:space="preserve">                                  POTENTIAL FAILURE MODE AND EFFECTS ANALYSIS (PROCESS FMEA) </t>
  </si>
  <si>
    <t>Item</t>
  </si>
  <si>
    <t>Process Responsibility</t>
  </si>
  <si>
    <t>PFMEA Number</t>
  </si>
  <si>
    <t>Product Name &amp; Model</t>
  </si>
  <si>
    <t>Key Date</t>
  </si>
  <si>
    <t>Prepared by</t>
  </si>
  <si>
    <t>Core Team</t>
  </si>
  <si>
    <t>Date (Original)</t>
  </si>
  <si>
    <t xml:space="preserve">Date (Revised) </t>
  </si>
  <si>
    <t>Op Seq #</t>
  </si>
  <si>
    <t>Product Characteristics ID/Description</t>
  </si>
  <si>
    <t>Potential Failure Mode</t>
  </si>
  <si>
    <t>Potential Effect(s) of Failure</t>
  </si>
  <si>
    <t>Severity</t>
  </si>
  <si>
    <t>Classification</t>
  </si>
  <si>
    <t>Potential Cause(s) of Failure</t>
  </si>
  <si>
    <t>Current Process</t>
  </si>
  <si>
    <t>RPN</t>
  </si>
  <si>
    <t>Recommended Action</t>
  </si>
  <si>
    <t>Action Results</t>
  </si>
  <si>
    <t>Controls Prevention</t>
  </si>
  <si>
    <t>Occurance</t>
  </si>
  <si>
    <t>Controls Detection</t>
  </si>
  <si>
    <t>Detection</t>
  </si>
  <si>
    <t>Actions Taken &amp; Completion date</t>
  </si>
  <si>
    <t>Occurrence</t>
  </si>
  <si>
    <t>System Failure Mode and Effect Analysis (SFMEA)</t>
  </si>
  <si>
    <t xml:space="preserve">                                  SYSTEM FAILURE MODE AND EFFECTS ANALYSIS (SYSTEM FMEA) </t>
  </si>
  <si>
    <t>Operation Function/ Requirment</t>
  </si>
  <si>
    <t>Design Part/ Product /Requirment</t>
  </si>
  <si>
    <t>Design Responsibility</t>
  </si>
  <si>
    <t>Process Function/ Task/ Tool/ Requirment</t>
  </si>
  <si>
    <t>System Architecture/ Execution/ Function/ Requirment</t>
  </si>
  <si>
    <t>Software Failure Mode and Effect Analysis (SWFMEA)</t>
  </si>
  <si>
    <t xml:space="preserve">                                  SOFTWARE FAILURE MODE AND EFFECTS ANALYSIS (SOFTWARE FMEA) </t>
  </si>
  <si>
    <t>System Responsibility</t>
  </si>
  <si>
    <t>SFMEA Number</t>
  </si>
  <si>
    <t>SWFMEA Number</t>
  </si>
  <si>
    <t>OFMEA Number</t>
  </si>
  <si>
    <t>Operations Responsibility</t>
  </si>
  <si>
    <t xml:space="preserve">                                OPERATIONS  FAILURE MODE AND EFFECTS ANALYSIS (OPERATIONS FMEA) </t>
  </si>
  <si>
    <t>Operations Failure Mode and Effect Analysis (OFMEA)</t>
  </si>
  <si>
    <t xml:space="preserve">                                  Design FAILURE MODE AND EFFECTS ANALYSIS (PRODUCT FMEA) </t>
  </si>
  <si>
    <t>Design Failure Mode and Effect Analysis (DFMEA)</t>
  </si>
  <si>
    <t>DFMEA Number</t>
  </si>
  <si>
    <t>Software Responsibility</t>
  </si>
  <si>
    <t>Potential Risk Responsibility</t>
  </si>
  <si>
    <t>Risk Failure Mode and Effect Analysis (RFMEA)</t>
  </si>
  <si>
    <t>Process/ Product/ Function/ Requirment</t>
  </si>
  <si>
    <t xml:space="preserve">                                  POTENTIAL FAILURE MODE AND EFFECTS ANALYSIS (RISK FMEA) </t>
  </si>
  <si>
    <t>Software Architecture/ Algorithm/ Code/ Function/ Requirment</t>
  </si>
  <si>
    <t>(Design FMEA)</t>
  </si>
  <si>
    <t xml:space="preserve">System : </t>
  </si>
  <si>
    <t>Subsystem:</t>
  </si>
  <si>
    <t>FMEA Version :</t>
  </si>
  <si>
    <t>V0.1</t>
  </si>
  <si>
    <t xml:space="preserve">Component : </t>
  </si>
  <si>
    <t>Design Responsibility :</t>
  </si>
  <si>
    <t>Page:</t>
  </si>
  <si>
    <t>Model Year (s)/ Program(s) :</t>
  </si>
  <si>
    <t>Prepared by:</t>
  </si>
  <si>
    <t>Core Team :</t>
  </si>
  <si>
    <t>Key Date :</t>
  </si>
  <si>
    <t>FMEA Date (Orig.) :</t>
  </si>
  <si>
    <t>Item / Function</t>
  </si>
  <si>
    <t>Requirement</t>
  </si>
  <si>
    <t xml:space="preserve">Current Design </t>
  </si>
  <si>
    <t>Responsibility &amp; Target Completion Date</t>
  </si>
  <si>
    <r>
      <t xml:space="preserve">Actions Taken </t>
    </r>
    <r>
      <rPr>
        <sz val="10"/>
        <rFont val="Arial"/>
        <family val="2"/>
      </rPr>
      <t>Completion Date</t>
    </r>
  </si>
  <si>
    <t>Characteristics</t>
  </si>
  <si>
    <t xml:space="preserve"> </t>
  </si>
  <si>
    <t>APPEARANCE APPROVAL REPORT</t>
  </si>
  <si>
    <t>PART NUMBER</t>
  </si>
  <si>
    <t>DRAWING NUMBER</t>
  </si>
  <si>
    <t>APPLICATION</t>
  </si>
  <si>
    <t>Aluminium part</t>
  </si>
  <si>
    <t>PART NAME</t>
  </si>
  <si>
    <t>BUYER CODE</t>
  </si>
  <si>
    <t>E/C LEVEL</t>
  </si>
  <si>
    <t>DATE</t>
  </si>
  <si>
    <t>SUPPLIER NAME</t>
  </si>
  <si>
    <t>MANUFACTURING ADDRESS</t>
  </si>
  <si>
    <t>SUPPLIER CODE</t>
  </si>
  <si>
    <t>LVL d.o.o.</t>
  </si>
  <si>
    <t>LOCATION</t>
  </si>
  <si>
    <t>REASON FOR</t>
  </si>
  <si>
    <t>PART SUBMISSION WARRANT</t>
  </si>
  <si>
    <t>SPECIAL SAMPLE</t>
  </si>
  <si>
    <t>RE-SUBMISSION</t>
  </si>
  <si>
    <t>OTHER</t>
  </si>
  <si>
    <t>SUBMISSION</t>
  </si>
  <si>
    <t>PRE TEXTURE</t>
  </si>
  <si>
    <t>FIRST PRODUCTION SHIPMENT</t>
  </si>
  <si>
    <t>ENGINEERING CHANGE</t>
  </si>
  <si>
    <t>APPEARANCE EVALUATION</t>
  </si>
  <si>
    <t>CUSTOMER</t>
  </si>
  <si>
    <t>SUPPLIER SOURCING AND TEXTURE INFORMATION</t>
  </si>
  <si>
    <t xml:space="preserve">   PRE-TEXTURE</t>
  </si>
  <si>
    <t>REPRESENTATIVE</t>
  </si>
  <si>
    <t xml:space="preserve">   EVALUATION</t>
  </si>
  <si>
    <t>SIGNATURE AND DATE</t>
  </si>
  <si>
    <t xml:space="preserve">   CORRECT</t>
  </si>
  <si>
    <t xml:space="preserve">   AND PROCEED</t>
  </si>
  <si>
    <t xml:space="preserve">   CORRECT AND</t>
  </si>
  <si>
    <t xml:space="preserve">   RESUBMIT</t>
  </si>
  <si>
    <t xml:space="preserve">   APPROVED TO</t>
  </si>
  <si>
    <t xml:space="preserve">   TEXTURE</t>
  </si>
  <si>
    <t>COLOR EVALUATION</t>
  </si>
  <si>
    <t>COMMENTS</t>
  </si>
  <si>
    <t>COLOR SUFFIX</t>
  </si>
  <si>
    <t>COLOR HEX</t>
  </si>
  <si>
    <t>TRISTIMULUS DATA</t>
  </si>
  <si>
    <t>DL*</t>
  </si>
  <si>
    <t>Da*</t>
  </si>
  <si>
    <t>Db*</t>
  </si>
  <si>
    <t>DE*</t>
  </si>
  <si>
    <t>CMC</t>
  </si>
  <si>
    <t>MASTER NUMBER</t>
  </si>
  <si>
    <t>MASTER DATE</t>
  </si>
  <si>
    <t>MATERIAL TYPE</t>
  </si>
  <si>
    <t>Material chemical analysis is: EN AB-AlSi12(Fe)</t>
  </si>
  <si>
    <t>MATERIAL SOURCE</t>
  </si>
  <si>
    <t>HUE</t>
  </si>
  <si>
    <t>RED</t>
  </si>
  <si>
    <t>YEL</t>
  </si>
  <si>
    <t>GRN</t>
  </si>
  <si>
    <t>BLU</t>
  </si>
  <si>
    <t>VALUE</t>
  </si>
  <si>
    <t>LIGHT</t>
  </si>
  <si>
    <t>DARK</t>
  </si>
  <si>
    <t>CHROMA</t>
  </si>
  <si>
    <t>GRAY</t>
  </si>
  <si>
    <t>CLEAN</t>
  </si>
  <si>
    <t>GLOSS</t>
  </si>
  <si>
    <t>HIGH</t>
  </si>
  <si>
    <t>LOW</t>
  </si>
  <si>
    <t>METALLIC BRILLIANCE</t>
  </si>
  <si>
    <t>COLOR SHIPPING SUFFIX</t>
  </si>
  <si>
    <t>PART DISPOSITION</t>
  </si>
  <si>
    <t>SUPPLIER SIGNATURE</t>
  </si>
  <si>
    <t>PHONE NUMBER</t>
  </si>
  <si>
    <t>CUSTOMER REPRESENTATIVE SIGNATURE</t>
  </si>
  <si>
    <t>Control plan</t>
  </si>
  <si>
    <t>Prcess Control Plan (PCP)</t>
  </si>
  <si>
    <t>Prototype                   Pre-Launch                 Production</t>
  </si>
  <si>
    <t>Control Plan Number</t>
  </si>
  <si>
    <t>Key Contact&amp; Phone</t>
  </si>
  <si>
    <t>Date (Revised)</t>
  </si>
  <si>
    <t>Part Number/Latest change level</t>
  </si>
  <si>
    <t>Part Name/Description</t>
  </si>
  <si>
    <t>Supplier/Plant approval date</t>
  </si>
  <si>
    <t>Supplier/Plant</t>
  </si>
  <si>
    <t>Supplier Code</t>
  </si>
  <si>
    <t>Customer Quality Approval date (if required)</t>
  </si>
  <si>
    <t xml:space="preserve">Operation Description                   (Do this, to this, with this) </t>
  </si>
  <si>
    <t>Machine Device/Jig/tools for manufacturing</t>
  </si>
  <si>
    <t>Class</t>
  </si>
  <si>
    <t>Methods</t>
  </si>
  <si>
    <t>Reaction Plan</t>
  </si>
  <si>
    <t>No</t>
  </si>
  <si>
    <t>Product</t>
  </si>
  <si>
    <t>Process</t>
  </si>
  <si>
    <t>Prodcut/Process specification Tolerance</t>
  </si>
  <si>
    <t>Evaluation Measurement technique</t>
  </si>
  <si>
    <t>Sample</t>
  </si>
  <si>
    <t>Control Methods</t>
  </si>
  <si>
    <t>Size</t>
  </si>
  <si>
    <t>Frequency</t>
  </si>
  <si>
    <t xml:space="preserve">Advanced Product Quality Planning ( APQP) Process  </t>
  </si>
  <si>
    <t>Comment:</t>
  </si>
  <si>
    <t>Date of Issue:</t>
  </si>
  <si>
    <t>Form Number: 01</t>
  </si>
  <si>
    <t>Supplier</t>
  </si>
  <si>
    <t>Date</t>
  </si>
  <si>
    <t>Location</t>
  </si>
  <si>
    <t>Review #.</t>
  </si>
  <si>
    <t>Project</t>
  </si>
  <si>
    <t>Risk Assessment</t>
  </si>
  <si>
    <t>Part Name</t>
  </si>
  <si>
    <t>New :</t>
  </si>
  <si>
    <t>Part Number</t>
  </si>
  <si>
    <t>Other Risks</t>
  </si>
  <si>
    <t>User Plant (s)</t>
  </si>
  <si>
    <t>Team Members</t>
  </si>
  <si>
    <t>Company/Title</t>
  </si>
  <si>
    <t>Phone</t>
  </si>
  <si>
    <t>e-mail</t>
  </si>
  <si>
    <t>Build Level
Prototype</t>
  </si>
  <si>
    <t>Required Date</t>
  </si>
  <si>
    <t>Quantity</t>
  </si>
  <si>
    <t>Special Characteristics</t>
  </si>
  <si>
    <t>Comments</t>
  </si>
  <si>
    <t>APQP Elements</t>
  </si>
  <si>
    <t>GYR</t>
  </si>
  <si>
    <t>G</t>
  </si>
  <si>
    <t>Program</t>
  </si>
  <si>
    <t>Closed</t>
  </si>
  <si>
    <t>Champion</t>
  </si>
  <si>
    <t>Document</t>
  </si>
  <si>
    <t xml:space="preserve">Remarks </t>
  </si>
  <si>
    <t>TIMELINE</t>
  </si>
  <si>
    <t>Status</t>
  </si>
  <si>
    <t>Y</t>
  </si>
  <si>
    <t>Need</t>
  </si>
  <si>
    <t>Timing</t>
  </si>
  <si>
    <t>Name</t>
  </si>
  <si>
    <t>Revision</t>
  </si>
  <si>
    <t>R</t>
  </si>
  <si>
    <t>Date &amp; Rev.</t>
  </si>
  <si>
    <t xml:space="preserve">Phase 1.0 : Kick-off &amp; Planning </t>
  </si>
  <si>
    <t>1) Project team established</t>
  </si>
  <si>
    <t>2) Specification and system review</t>
  </si>
  <si>
    <t>3) Project plan review</t>
  </si>
  <si>
    <t xml:space="preserve"> - Preliminary Capacity study</t>
  </si>
  <si>
    <t xml:space="preserve"> - Preliminary sub-supplier plan</t>
  </si>
  <si>
    <t xml:space="preserve"> - Preliminary Traceability tree with BoM.</t>
  </si>
  <si>
    <t xml:space="preserve"> - Process Equipment / Control equip/ Prod. gauges</t>
  </si>
  <si>
    <t xml:space="preserve"> - Prototype Tooling (with specification release date)</t>
  </si>
  <si>
    <t xml:space="preserve"> - Production Tooling (with specification release date)</t>
  </si>
  <si>
    <t>4) Feasibility</t>
  </si>
  <si>
    <t>5) PPAP level agreed</t>
  </si>
  <si>
    <t>Phase 2.0 : Process &amp; Design Development</t>
  </si>
  <si>
    <t>1) Process flow chart</t>
  </si>
  <si>
    <t xml:space="preserve"> - Floor plan layout</t>
  </si>
  <si>
    <t xml:space="preserve">2 Process-FMEA </t>
  </si>
  <si>
    <t xml:space="preserve"> - Process Equipment / Control equip / Prod. gauges</t>
  </si>
  <si>
    <t xml:space="preserve"> - Important characteristics defined and agreed</t>
  </si>
  <si>
    <t>3) Measurement System Plan</t>
  </si>
  <si>
    <t xml:space="preserve"> - Meassurement system analysis plan</t>
  </si>
  <si>
    <t xml:space="preserve"> - Preliminary Process Capability Study Plan</t>
  </si>
  <si>
    <t>4 Prelimnary Control Plan</t>
  </si>
  <si>
    <t>5) Process Instructions</t>
  </si>
  <si>
    <t xml:space="preserve"> - tooling maintenance management plan</t>
  </si>
  <si>
    <t xml:space="preserve"> - machine maintenance plan</t>
  </si>
  <si>
    <t xml:space="preserve"> - employee skill maintenance plan</t>
  </si>
  <si>
    <t>6) Packaging Evaluation</t>
  </si>
  <si>
    <t>Phase 3.0 : Product &amp; Process Validation</t>
  </si>
  <si>
    <t>1) Control Plan</t>
  </si>
  <si>
    <t xml:space="preserve"> - work instructions</t>
  </si>
  <si>
    <t>2) PPAP</t>
  </si>
  <si>
    <t>3) Production Trial Run</t>
  </si>
  <si>
    <t xml:space="preserve"> - Run at Rate for capacity</t>
  </si>
  <si>
    <t xml:space="preserve"> - Measurement System Evaluation</t>
  </si>
  <si>
    <t xml:space="preserve"> - Process Capability Study</t>
  </si>
  <si>
    <t>4) Production Part Approval (PPAP)</t>
  </si>
  <si>
    <t xml:space="preserve"> - PSW / I.S.I.R</t>
  </si>
  <si>
    <t xml:space="preserve"> - PPAP Sign Off</t>
  </si>
  <si>
    <t>Phase 4.0 : Confirmation of tools &amp; production</t>
  </si>
  <si>
    <t xml:space="preserve"> - Trial casting successfully validated</t>
  </si>
  <si>
    <t xml:space="preserve"> - EMPB confirmed</t>
  </si>
  <si>
    <t xml:space="preserve"> - PSW confirmed</t>
  </si>
  <si>
    <t xml:space="preserve"> - Open Actions list reviewed and closed</t>
  </si>
  <si>
    <t xml:space="preserve"> - Close APQP</t>
  </si>
  <si>
    <t xml:space="preserve"> - Open Continuous Imrpovement Plan (if remaining issues)</t>
  </si>
  <si>
    <t>Open Issues - Action Plans</t>
  </si>
  <si>
    <t>APQP Element</t>
  </si>
  <si>
    <t xml:space="preserve">Description of Concern </t>
  </si>
  <si>
    <t>Actions Taken / Implemented</t>
  </si>
  <si>
    <t>Responsible</t>
  </si>
  <si>
    <t>Completion Date</t>
  </si>
  <si>
    <t>Meeting Log</t>
  </si>
  <si>
    <t>Date of APQP Meetings</t>
  </si>
  <si>
    <t>Name of Participant</t>
  </si>
  <si>
    <t>Topic</t>
  </si>
  <si>
    <t xml:space="preserve">Kick-off </t>
  </si>
  <si>
    <t>Risk/Status Assessment</t>
  </si>
  <si>
    <t>Risk</t>
  </si>
  <si>
    <t>Color</t>
  </si>
  <si>
    <t>Definition</t>
  </si>
  <si>
    <t>High</t>
  </si>
  <si>
    <t>Red</t>
  </si>
  <si>
    <t xml:space="preserve">Target dates and/or deliverables are at risk. A recovery work plan is not available and/or implemented, or the work plan does not achieve program targets. </t>
  </si>
  <si>
    <t>Moderate</t>
  </si>
  <si>
    <t>Yellow</t>
  </si>
  <si>
    <t>Target dates and/or deliverables are at risk, but a resourced recovery work plan has been developed to achieve
program targets, and has been approved by the appropriate Management Team</t>
  </si>
  <si>
    <t>None</t>
  </si>
  <si>
    <t>Green</t>
  </si>
  <si>
    <t>Target dates and deliverables are on track and meeting objectives.</t>
  </si>
  <si>
    <t>INTERNAL VALIDATION FOR TOOLS</t>
  </si>
  <si>
    <t>Validation Plan Numr</t>
  </si>
  <si>
    <t>Key contact/ Phone/ e-mail</t>
  </si>
  <si>
    <t>Date (Orig.)</t>
  </si>
  <si>
    <t>Date (Rev.)</t>
  </si>
  <si>
    <t>Številka plana nadzora</t>
  </si>
  <si>
    <t>Ključna kontaktna oseba/ telefon/ e-mail</t>
  </si>
  <si>
    <t>Datum izdaje (Orig.)</t>
  </si>
  <si>
    <t>Datum zaporedne izdaje (Rev.)</t>
  </si>
  <si>
    <t>Part Number/Latest Change Level</t>
  </si>
  <si>
    <t>Customer Engineering Approval/Date (If Req'd.)</t>
  </si>
  <si>
    <t>Številka dela/Raven tehnične spremembe</t>
  </si>
  <si>
    <t>Člani tima</t>
  </si>
  <si>
    <t>Odobritev razvoja kupca/Datum (če je zahtevano)</t>
  </si>
  <si>
    <t>Customer approval</t>
  </si>
  <si>
    <t>Supplier/Plant Approval/Date</t>
  </si>
  <si>
    <t>Customer Quality Approval/Date (If Req'd.)</t>
  </si>
  <si>
    <t>Naziv/Opis dela</t>
  </si>
  <si>
    <t>Odobritev dobavitelja/Lokacija/Datum</t>
  </si>
  <si>
    <t>Odobritev kontrole kakovosti kupca/ datum (če je zahteva)</t>
  </si>
  <si>
    <t>Other Approval/Date (If Req'd.)</t>
  </si>
  <si>
    <t>Dobavitelj- proiz. lokacija</t>
  </si>
  <si>
    <t>Šifra dobavitelja</t>
  </si>
  <si>
    <t>Ostale odobritve/Datum (če je zahtevano)</t>
  </si>
  <si>
    <r>
      <t xml:space="preserve">Nr. of validation step </t>
    </r>
    <r>
      <rPr>
        <sz val="7"/>
        <rFont val="Arial"/>
        <family val="2"/>
        <charset val="238"/>
      </rPr>
      <t>(Št. Koraka)</t>
    </r>
  </si>
  <si>
    <t>Tool VALIDATION STEPS  (KORAKI VALIDACIJE)</t>
  </si>
  <si>
    <t>01</t>
  </si>
  <si>
    <r>
      <rPr>
        <b/>
        <sz val="8"/>
        <rFont val="Arial"/>
        <family val="2"/>
        <charset val="238"/>
      </rPr>
      <t xml:space="preserve">Tool Completeness </t>
    </r>
    <r>
      <rPr>
        <sz val="8"/>
        <rFont val="Arial"/>
        <family val="2"/>
        <charset val="238"/>
      </rPr>
      <t xml:space="preserve"> (Kompletnost orodja)</t>
    </r>
  </si>
  <si>
    <r>
      <t>Drawing number and version</t>
    </r>
    <r>
      <rPr>
        <sz val="7"/>
        <rFont val="Arial"/>
        <family val="2"/>
        <charset val="238"/>
      </rPr>
      <t xml:space="preserve"> (Št. Risbe in verzija)</t>
    </r>
  </si>
  <si>
    <r>
      <t>Number of tool parts</t>
    </r>
    <r>
      <rPr>
        <sz val="7"/>
        <rFont val="Arial"/>
        <family val="2"/>
        <charset val="238"/>
      </rPr>
      <t xml:space="preserve"> (Št. delov orodja)</t>
    </r>
  </si>
  <si>
    <r>
      <rPr>
        <b/>
        <sz val="7"/>
        <rFont val="Arial"/>
        <family val="2"/>
        <charset val="238"/>
      </rPr>
      <t>Date of Tool Completion</t>
    </r>
    <r>
      <rPr>
        <sz val="7"/>
        <rFont val="Arial"/>
        <family val="2"/>
        <charset val="238"/>
      </rPr>
      <t xml:space="preserve"> (Datum izdelave orodja)</t>
    </r>
  </si>
  <si>
    <r>
      <rPr>
        <b/>
        <sz val="7"/>
        <rFont val="Arial"/>
        <family val="2"/>
        <charset val="238"/>
      </rPr>
      <t xml:space="preserve">Tool Completness Documentation </t>
    </r>
    <r>
      <rPr>
        <sz val="7"/>
        <rFont val="Arial"/>
        <family val="2"/>
        <charset val="238"/>
      </rPr>
      <t>(Dokumentacija kompletnosti orodja)</t>
    </r>
  </si>
  <si>
    <r>
      <rPr>
        <b/>
        <sz val="7"/>
        <rFont val="Arial"/>
        <family val="2"/>
        <charset val="238"/>
      </rPr>
      <t xml:space="preserve">Certificates, Confrimation forms, Other documentation </t>
    </r>
    <r>
      <rPr>
        <sz val="7"/>
        <rFont val="Arial"/>
        <family val="2"/>
        <charset val="238"/>
      </rPr>
      <t>(Certifikati, Potrdila in Ostala dokumentacija)</t>
    </r>
  </si>
  <si>
    <r>
      <t>Technical Remarks and Comments</t>
    </r>
    <r>
      <rPr>
        <sz val="7"/>
        <rFont val="Arial"/>
        <family val="2"/>
        <charset val="238"/>
      </rPr>
      <t xml:space="preserve"> (Tehnične Opazke in Komentarji)</t>
    </r>
  </si>
  <si>
    <t>02</t>
  </si>
  <si>
    <r>
      <rPr>
        <b/>
        <sz val="8"/>
        <rFont val="Arial"/>
        <family val="2"/>
        <charset val="238"/>
      </rPr>
      <t>Trial Die Casting</t>
    </r>
    <r>
      <rPr>
        <sz val="8"/>
        <rFont val="Arial"/>
        <family val="2"/>
        <charset val="238"/>
      </rPr>
      <t xml:space="preserve"> (Preizkusno litje)</t>
    </r>
  </si>
  <si>
    <r>
      <rPr>
        <b/>
        <sz val="7"/>
        <rFont val="Arial"/>
        <family val="2"/>
        <charset val="238"/>
      </rPr>
      <t>Number of castings</t>
    </r>
    <r>
      <rPr>
        <sz val="7"/>
        <rFont val="Arial"/>
        <family val="2"/>
        <charset val="238"/>
      </rPr>
      <t xml:space="preserve"> (Št. Litij)</t>
    </r>
  </si>
  <si>
    <r>
      <t xml:space="preserve">Material </t>
    </r>
    <r>
      <rPr>
        <sz val="7"/>
        <rFont val="Arial"/>
        <family val="2"/>
        <charset val="238"/>
      </rPr>
      <t>(Material)</t>
    </r>
  </si>
  <si>
    <r>
      <t xml:space="preserve">Material Supplier </t>
    </r>
    <r>
      <rPr>
        <sz val="7"/>
        <rFont val="Arial"/>
        <family val="2"/>
        <charset val="238"/>
      </rPr>
      <t>(Dobavitelj materiala)</t>
    </r>
  </si>
  <si>
    <r>
      <t xml:space="preserve">Producer </t>
    </r>
    <r>
      <rPr>
        <sz val="7"/>
        <rFont val="Arial"/>
        <family val="2"/>
        <charset val="238"/>
      </rPr>
      <t>(Izvajalec)</t>
    </r>
  </si>
  <si>
    <r>
      <t xml:space="preserve">Machine </t>
    </r>
    <r>
      <rPr>
        <sz val="7"/>
        <rFont val="Arial"/>
        <family val="2"/>
        <charset val="238"/>
      </rPr>
      <t>(Stroj)</t>
    </r>
  </si>
  <si>
    <r>
      <rPr>
        <b/>
        <sz val="7"/>
        <rFont val="Arial"/>
        <family val="2"/>
        <charset val="238"/>
      </rPr>
      <t xml:space="preserve">No. of samples
</t>
    </r>
    <r>
      <rPr>
        <sz val="7"/>
        <rFont val="Arial"/>
        <family val="2"/>
        <charset val="238"/>
      </rPr>
      <t>(Št. vzorcev)</t>
    </r>
  </si>
  <si>
    <r>
      <rPr>
        <b/>
        <sz val="7"/>
        <rFont val="Arial"/>
        <family val="2"/>
        <charset val="238"/>
      </rPr>
      <t>Date of manufacturing</t>
    </r>
    <r>
      <rPr>
        <sz val="7"/>
        <rFont val="Arial"/>
        <family val="2"/>
        <charset val="238"/>
      </rPr>
      <t xml:space="preserve"> (Datum vzorčne serije)</t>
    </r>
  </si>
  <si>
    <r>
      <t xml:space="preserve">Parameters </t>
    </r>
    <r>
      <rPr>
        <sz val="7"/>
        <rFont val="Arial"/>
        <family val="2"/>
        <charset val="238"/>
      </rPr>
      <t>(Parametri)</t>
    </r>
  </si>
  <si>
    <r>
      <t>Comments</t>
    </r>
    <r>
      <rPr>
        <sz val="7"/>
        <rFont val="Arial"/>
        <family val="2"/>
        <charset val="238"/>
      </rPr>
      <t xml:space="preserve"> (Komentarji)</t>
    </r>
  </si>
  <si>
    <t>03</t>
  </si>
  <si>
    <r>
      <rPr>
        <b/>
        <sz val="8"/>
        <rFont val="Arial"/>
        <family val="2"/>
        <charset val="238"/>
      </rPr>
      <t xml:space="preserve">Measurements </t>
    </r>
    <r>
      <rPr>
        <sz val="8"/>
        <rFont val="Arial"/>
        <family val="2"/>
        <charset val="238"/>
      </rPr>
      <t>(Meritve)</t>
    </r>
  </si>
  <si>
    <r>
      <rPr>
        <b/>
        <sz val="7"/>
        <rFont val="Arial"/>
        <family val="2"/>
        <charset val="238"/>
      </rPr>
      <t>Number of measurements</t>
    </r>
    <r>
      <rPr>
        <sz val="7"/>
        <rFont val="Arial"/>
        <family val="2"/>
        <charset val="238"/>
      </rPr>
      <t xml:space="preserve"> (Št. Meritev)</t>
    </r>
  </si>
  <si>
    <r>
      <rPr>
        <b/>
        <sz val="7"/>
        <rFont val="Arial"/>
        <family val="2"/>
        <charset val="238"/>
      </rPr>
      <t>Function</t>
    </r>
    <r>
      <rPr>
        <sz val="7"/>
        <rFont val="Arial"/>
        <family val="2"/>
        <charset val="238"/>
      </rPr>
      <t xml:space="preserve"> (Funkcija)</t>
    </r>
  </si>
  <si>
    <r>
      <rPr>
        <b/>
        <sz val="7"/>
        <rFont val="Arial"/>
        <family val="2"/>
        <charset val="238"/>
      </rPr>
      <t>Size</t>
    </r>
    <r>
      <rPr>
        <sz val="6"/>
        <rFont val="Arial"/>
        <family val="2"/>
        <charset val="238"/>
      </rPr>
      <t xml:space="preserve"> (Velikost)</t>
    </r>
  </si>
  <si>
    <r>
      <rPr>
        <b/>
        <sz val="7"/>
        <rFont val="Arial"/>
        <family val="2"/>
        <charset val="238"/>
      </rPr>
      <t>Frequency (</t>
    </r>
    <r>
      <rPr>
        <sz val="6"/>
        <rFont val="Arial"/>
        <family val="2"/>
        <charset val="238"/>
      </rPr>
      <t>Frekvenca)</t>
    </r>
  </si>
  <si>
    <r>
      <t xml:space="preserve">Product- process
specification- tolerance </t>
    </r>
    <r>
      <rPr>
        <sz val="7"/>
        <rFont val="Arial"/>
        <family val="2"/>
        <charset val="238"/>
      </rPr>
      <t>(Proizvod- proces
Specifikacije- tolerance)</t>
    </r>
  </si>
  <si>
    <r>
      <t>Method of measurement</t>
    </r>
    <r>
      <rPr>
        <sz val="7"/>
        <rFont val="Arial"/>
        <family val="2"/>
        <charset val="238"/>
      </rPr>
      <t xml:space="preserve"> (Metoda merjenja)</t>
    </r>
  </si>
  <si>
    <r>
      <rPr>
        <b/>
        <sz val="7"/>
        <rFont val="Arial"/>
        <family val="2"/>
        <charset val="238"/>
      </rPr>
      <t xml:space="preserve">CC and SC </t>
    </r>
    <r>
      <rPr>
        <sz val="7"/>
        <rFont val="Arial"/>
        <family val="2"/>
        <charset val="238"/>
      </rPr>
      <t>(Kritične mere)</t>
    </r>
  </si>
  <si>
    <r>
      <rPr>
        <b/>
        <sz val="7"/>
        <rFont val="Arial"/>
        <family val="2"/>
        <charset val="238"/>
      </rPr>
      <t xml:space="preserve">Results </t>
    </r>
    <r>
      <rPr>
        <sz val="7"/>
        <rFont val="Arial"/>
        <family val="2"/>
        <charset val="238"/>
      </rPr>
      <t>(Rezultati)</t>
    </r>
  </si>
  <si>
    <r>
      <rPr>
        <b/>
        <sz val="7"/>
        <rFont val="Arial"/>
        <family val="2"/>
        <charset val="238"/>
      </rPr>
      <t xml:space="preserve">Date of measurement </t>
    </r>
    <r>
      <rPr>
        <sz val="7"/>
        <rFont val="Arial"/>
        <family val="2"/>
        <charset val="238"/>
      </rPr>
      <t>(Datum meritve)</t>
    </r>
  </si>
  <si>
    <r>
      <rPr>
        <b/>
        <sz val="7"/>
        <rFont val="Arial"/>
        <family val="2"/>
        <charset val="238"/>
      </rPr>
      <t>Controler Name</t>
    </r>
    <r>
      <rPr>
        <sz val="7"/>
        <rFont val="Arial"/>
        <family val="2"/>
        <charset val="238"/>
      </rPr>
      <t xml:space="preserve"> (Ime Kontrolorja)</t>
    </r>
  </si>
  <si>
    <r>
      <t>MR - Measurement documentation</t>
    </r>
    <r>
      <rPr>
        <sz val="7"/>
        <rFont val="Arial"/>
        <family val="2"/>
        <charset val="238"/>
      </rPr>
      <t xml:space="preserve"> (MR - Dokumentacija meritev)</t>
    </r>
  </si>
  <si>
    <t>04</t>
  </si>
  <si>
    <r>
      <rPr>
        <b/>
        <sz val="8"/>
        <rFont val="Arial"/>
        <family val="2"/>
        <charset val="238"/>
      </rPr>
      <t xml:space="preserve">Measurement Protocol </t>
    </r>
    <r>
      <rPr>
        <sz val="8"/>
        <rFont val="Arial"/>
        <family val="2"/>
        <charset val="238"/>
      </rPr>
      <t xml:space="preserve"> (Merilni protokol)</t>
    </r>
  </si>
  <si>
    <r>
      <rPr>
        <b/>
        <sz val="7"/>
        <rFont val="Arial"/>
        <family val="2"/>
        <charset val="238"/>
      </rPr>
      <t>MR acceptable</t>
    </r>
    <r>
      <rPr>
        <sz val="7"/>
        <rFont val="Arial"/>
        <family val="2"/>
        <charset val="238"/>
      </rPr>
      <t xml:space="preserve"> (MR sprejemljiv)</t>
    </r>
  </si>
  <si>
    <r>
      <rPr>
        <b/>
        <sz val="7"/>
        <rFont val="Arial"/>
        <family val="2"/>
        <charset val="238"/>
      </rPr>
      <t>MR validation document</t>
    </r>
    <r>
      <rPr>
        <sz val="7"/>
        <rFont val="Arial"/>
        <family val="2"/>
        <charset val="238"/>
      </rPr>
      <t xml:space="preserve"> (MR dokument validacije)</t>
    </r>
  </si>
  <si>
    <r>
      <rPr>
        <b/>
        <sz val="7"/>
        <rFont val="Arial"/>
        <family val="2"/>
        <charset val="238"/>
      </rPr>
      <t>Nr. Of measured parts</t>
    </r>
    <r>
      <rPr>
        <sz val="7"/>
        <rFont val="Arial"/>
        <family val="2"/>
        <charset val="238"/>
      </rPr>
      <t xml:space="preserve"> (Št. Pomerjenih kosov)</t>
    </r>
  </si>
  <si>
    <r>
      <rPr>
        <b/>
        <sz val="7"/>
        <rFont val="Arial"/>
        <family val="2"/>
        <charset val="238"/>
      </rPr>
      <t>Number of gold samples</t>
    </r>
    <r>
      <rPr>
        <sz val="7"/>
        <rFont val="Arial"/>
        <family val="2"/>
        <charset val="238"/>
      </rPr>
      <t xml:space="preserve"> (Št. zlatih vzorcev)</t>
    </r>
  </si>
  <si>
    <r>
      <rPr>
        <b/>
        <sz val="7"/>
        <rFont val="Arial"/>
        <family val="2"/>
        <charset val="238"/>
      </rPr>
      <t xml:space="preserve">PPAP documentation </t>
    </r>
    <r>
      <rPr>
        <sz val="7"/>
        <rFont val="Arial"/>
        <family val="2"/>
        <charset val="238"/>
      </rPr>
      <t>(PPAP dokumentacije)</t>
    </r>
  </si>
  <si>
    <r>
      <rPr>
        <b/>
        <sz val="7"/>
        <rFont val="Arial"/>
        <family val="2"/>
        <charset val="238"/>
      </rPr>
      <t xml:space="preserve">Identificaiton of additional measurements  and QA </t>
    </r>
    <r>
      <rPr>
        <sz val="7"/>
        <rFont val="Arial"/>
        <family val="2"/>
        <charset val="238"/>
      </rPr>
      <t>(Identifikacija drugih meritev in QA)</t>
    </r>
  </si>
  <si>
    <r>
      <t xml:space="preserve">Comments </t>
    </r>
    <r>
      <rPr>
        <sz val="7"/>
        <rFont val="Arial"/>
        <family val="2"/>
        <charset val="238"/>
      </rPr>
      <t>(Komentarji)</t>
    </r>
  </si>
  <si>
    <t>05</t>
  </si>
  <si>
    <r>
      <rPr>
        <b/>
        <sz val="8"/>
        <rFont val="Arial"/>
        <family val="2"/>
        <charset val="238"/>
      </rPr>
      <t>Submitting samples with measuring protocol (</t>
    </r>
    <r>
      <rPr>
        <sz val="8"/>
        <rFont val="Arial"/>
        <family val="2"/>
        <charset val="238"/>
      </rPr>
      <t>Posredovanje vzorcev z merilnim protokolom)</t>
    </r>
  </si>
  <si>
    <r>
      <rPr>
        <b/>
        <sz val="7"/>
        <rFont val="Arial"/>
        <family val="2"/>
        <charset val="238"/>
      </rPr>
      <t>Measurement documentation sent to Customer</t>
    </r>
    <r>
      <rPr>
        <sz val="7"/>
        <rFont val="Arial"/>
        <family val="2"/>
        <charset val="238"/>
      </rPr>
      <t xml:space="preserve"> (Merilna dokumentacija poslana kupcu)</t>
    </r>
  </si>
  <si>
    <r>
      <t>PPAP sent to Customer</t>
    </r>
    <r>
      <rPr>
        <sz val="7"/>
        <rFont val="Arial"/>
        <family val="2"/>
        <charset val="238"/>
      </rPr>
      <t xml:space="preserve"> (PPAP poslan kupcu)</t>
    </r>
  </si>
  <si>
    <r>
      <t xml:space="preserve">PSW sent to Customer </t>
    </r>
    <r>
      <rPr>
        <sz val="7"/>
        <rFont val="Arial"/>
        <family val="2"/>
        <charset val="238"/>
      </rPr>
      <t>(PSW poslan kupcu)</t>
    </r>
  </si>
  <si>
    <r>
      <t>PPAP documentation</t>
    </r>
    <r>
      <rPr>
        <sz val="7"/>
        <rFont val="Arial"/>
        <family val="2"/>
        <charset val="238"/>
      </rPr>
      <t xml:space="preserve"> change (PPAP dokumenti sprememb)</t>
    </r>
  </si>
  <si>
    <r>
      <t>MR documentation change</t>
    </r>
    <r>
      <rPr>
        <sz val="7"/>
        <rFont val="Arial"/>
        <family val="2"/>
        <charset val="238"/>
      </rPr>
      <t>(PSW dokumentacija sprememb)</t>
    </r>
  </si>
  <si>
    <r>
      <rPr>
        <b/>
        <sz val="7"/>
        <rFont val="Arial"/>
        <family val="2"/>
        <charset val="238"/>
      </rPr>
      <t>Date of submittion</t>
    </r>
    <r>
      <rPr>
        <sz val="7"/>
        <rFont val="Arial"/>
        <family val="2"/>
        <charset val="238"/>
      </rPr>
      <t xml:space="preserve"> (Datum posredovanja)</t>
    </r>
  </si>
  <si>
    <r>
      <rPr>
        <b/>
        <sz val="7"/>
        <rFont val="Arial"/>
        <family val="2"/>
        <charset val="238"/>
      </rPr>
      <t>Number of samples</t>
    </r>
    <r>
      <rPr>
        <sz val="7"/>
        <rFont val="Arial"/>
        <family val="2"/>
        <charset val="238"/>
      </rPr>
      <t xml:space="preserve"> (Št. vzorcev)</t>
    </r>
  </si>
  <si>
    <r>
      <t xml:space="preserve">Sent to customer for inspection Y / N </t>
    </r>
    <r>
      <rPr>
        <sz val="7"/>
        <rFont val="Arial"/>
        <family val="2"/>
        <charset val="238"/>
      </rPr>
      <t xml:space="preserve">                    (Poslano kupcu za pregled)</t>
    </r>
  </si>
  <si>
    <t>06</t>
  </si>
  <si>
    <r>
      <rPr>
        <b/>
        <sz val="8"/>
        <rFont val="Arial"/>
        <family val="2"/>
        <charset val="238"/>
      </rPr>
      <t>Customer Confirmation</t>
    </r>
    <r>
      <rPr>
        <sz val="8"/>
        <rFont val="Arial"/>
        <family val="2"/>
        <charset val="238"/>
      </rPr>
      <t xml:space="preserve"> (Potrditev s strani kupca)</t>
    </r>
  </si>
  <si>
    <r>
      <rPr>
        <b/>
        <sz val="7"/>
        <rFont val="Arial"/>
        <family val="2"/>
        <charset val="238"/>
      </rPr>
      <t>PSW confirmation</t>
    </r>
    <r>
      <rPr>
        <sz val="7"/>
        <rFont val="Arial"/>
        <family val="2"/>
        <charset val="238"/>
      </rPr>
      <t>(PSW potrditev)</t>
    </r>
  </si>
  <si>
    <r>
      <t xml:space="preserve">Corrections of PPAP, MR </t>
    </r>
    <r>
      <rPr>
        <sz val="7"/>
        <rFont val="Arial"/>
        <family val="2"/>
        <charset val="238"/>
      </rPr>
      <t>(Korekcije PPAP, MR)</t>
    </r>
  </si>
  <si>
    <r>
      <rPr>
        <b/>
        <sz val="7"/>
        <rFont val="Arial"/>
        <family val="2"/>
        <charset val="238"/>
      </rPr>
      <t xml:space="preserve">Implementation of PPAP, MR </t>
    </r>
    <r>
      <rPr>
        <sz val="7"/>
        <rFont val="Arial"/>
        <family val="2"/>
        <charset val="238"/>
      </rPr>
      <t>(Implementacija PPAP, MR)</t>
    </r>
  </si>
  <si>
    <r>
      <rPr>
        <b/>
        <sz val="7"/>
        <rFont val="Arial"/>
        <family val="2"/>
        <charset val="238"/>
      </rPr>
      <t xml:space="preserve">Date of Confirmation </t>
    </r>
    <r>
      <rPr>
        <sz val="7"/>
        <rFont val="Arial"/>
        <family val="2"/>
        <charset val="238"/>
      </rPr>
      <t>(Datum potrditve)</t>
    </r>
  </si>
  <si>
    <r>
      <rPr>
        <b/>
        <sz val="7"/>
        <rFont val="Arial"/>
        <family val="2"/>
        <charset val="238"/>
      </rPr>
      <t xml:space="preserve">Date of Implementation </t>
    </r>
    <r>
      <rPr>
        <sz val="7"/>
        <rFont val="Arial"/>
        <family val="2"/>
        <charset val="238"/>
      </rPr>
      <t>(Datum implementacije)</t>
    </r>
  </si>
  <si>
    <t>07</t>
  </si>
  <si>
    <r>
      <rPr>
        <b/>
        <sz val="8"/>
        <rFont val="Arial"/>
        <family val="2"/>
        <charset val="238"/>
      </rPr>
      <t>First Series Manufacturing</t>
    </r>
    <r>
      <rPr>
        <sz val="8"/>
        <rFont val="Arial"/>
        <family val="2"/>
        <charset val="238"/>
      </rPr>
      <t xml:space="preserve"> (Proizvodnja prve serije)</t>
    </r>
  </si>
  <si>
    <r>
      <rPr>
        <b/>
        <sz val="7"/>
        <rFont val="Arial"/>
        <family val="2"/>
        <charset val="238"/>
      </rPr>
      <t xml:space="preserve">No. of products
</t>
    </r>
    <r>
      <rPr>
        <sz val="7"/>
        <rFont val="Arial"/>
        <family val="2"/>
        <charset val="238"/>
      </rPr>
      <t>(Št. vzorcev)</t>
    </r>
  </si>
  <si>
    <r>
      <rPr>
        <b/>
        <sz val="7"/>
        <rFont val="Arial"/>
        <family val="2"/>
        <charset val="238"/>
      </rPr>
      <t>Ability to process CP / CPK</t>
    </r>
    <r>
      <rPr>
        <sz val="7"/>
        <rFont val="Arial"/>
        <family val="2"/>
        <charset val="238"/>
      </rPr>
      <t xml:space="preserve"> (Sposobnost procesa CP /CPK)</t>
    </r>
  </si>
  <si>
    <r>
      <rPr>
        <b/>
        <sz val="7"/>
        <rFont val="Arial"/>
        <family val="2"/>
        <charset val="238"/>
      </rPr>
      <t>Control according to QP</t>
    </r>
    <r>
      <rPr>
        <sz val="7"/>
        <rFont val="Arial"/>
        <family val="2"/>
        <charset val="238"/>
      </rPr>
      <t xml:space="preserve"> (Kontrola po QP)</t>
    </r>
  </si>
  <si>
    <t xml:space="preserve">This is only an example of internal validation of tool. </t>
  </si>
  <si>
    <t>First 15 rows represent the HEADER of Form. It includes: validation plan number, part number, last change, part name, description, supplier, plant, supplier code, key contact people, dates and approval dates, customer quality approval, customer engineering approval, core team.</t>
  </si>
  <si>
    <t xml:space="preserve">1 STEP - TOOL COMPLETNESS: Step includes tool documentation, check list for all tool parts, validations if tool was completed. It also adds an attachements of documents such as drawings, forms,  certificates, validations..etc. </t>
  </si>
  <si>
    <t>2 STEP - TRIAL DIE CASTING: We start the function test if tool works correctly. We prepeare the tool by steps of assembly and parameters. We start the trial die casting of small quantities 10 - 100 pieces. We record all parameters and figures of trial die casting.  We prepeare samples for approval process, measurments, x-rays, spectroanalysis,..etc.</t>
  </si>
  <si>
    <t>3 STEP - MEASUREMENTS: We make the measurments, x-ray, spectoanalysis and create reports.</t>
  </si>
  <si>
    <t>4 STEP - MEASUREMENT PROTOCOL: We check the measurement results and completed PPAP documentation.</t>
  </si>
  <si>
    <t>5 STEP - SUBMITTING SAMPLES WITH MEASUREMENT PROTOCOL: We sent the PPAP documentation, MR results and samples to customer.</t>
  </si>
  <si>
    <t>6 STEP - CUSTOMER CONFIRMATION:  PSW confirmation from customer.</t>
  </si>
  <si>
    <t xml:space="preserve">7 STEP - FIRST SERIES MANUFACTURING: This step is taken only when the PSW has been confirmed, all documentation has been successfully approved and first samples have been accepted by customer. In case of manufacturing we fill the date, number of products, approve the Cp/Cpk capability of process, controling the samples according to QP. </t>
  </si>
  <si>
    <t>27.1.2017, Janez Jurančič</t>
  </si>
  <si>
    <t>Datum merjenja</t>
  </si>
  <si>
    <r>
      <rPr>
        <b/>
        <sz val="7"/>
        <color indexed="8"/>
        <rFont val="Arial"/>
        <family val="2"/>
        <charset val="238"/>
      </rPr>
      <t>Merilna oprema</t>
    </r>
    <r>
      <rPr>
        <sz val="7"/>
        <color indexed="8"/>
        <rFont val="Arial"/>
        <family val="2"/>
        <charset val="238"/>
      </rPr>
      <t xml:space="preserve">
Measurment equipment</t>
    </r>
  </si>
  <si>
    <r>
      <rPr>
        <b/>
        <sz val="7"/>
        <color indexed="8"/>
        <rFont val="Arial"/>
        <family val="2"/>
        <charset val="238"/>
      </rPr>
      <t>Dimenzija</t>
    </r>
    <r>
      <rPr>
        <sz val="7"/>
        <color indexed="8"/>
        <rFont val="Arial"/>
        <family val="2"/>
        <charset val="238"/>
      </rPr>
      <t xml:space="preserve">
Dimension</t>
    </r>
  </si>
  <si>
    <r>
      <rPr>
        <b/>
        <sz val="7"/>
        <color indexed="8"/>
        <rFont val="Arial"/>
        <family val="2"/>
        <charset val="238"/>
      </rPr>
      <t>Izmerjena vrednost</t>
    </r>
    <r>
      <rPr>
        <sz val="7"/>
        <color indexed="8"/>
        <rFont val="Arial"/>
        <family val="2"/>
        <charset val="238"/>
      </rPr>
      <t xml:space="preserve">
Measured value</t>
    </r>
  </si>
  <si>
    <t>CTQ            Y / N ?</t>
  </si>
  <si>
    <r>
      <rPr>
        <b/>
        <sz val="7"/>
        <color indexed="8"/>
        <rFont val="Arial"/>
        <family val="2"/>
        <charset val="238"/>
      </rPr>
      <t>Pregled in komentarji</t>
    </r>
    <r>
      <rPr>
        <sz val="7"/>
        <color indexed="8"/>
        <rFont val="Arial"/>
        <family val="2"/>
        <charset val="238"/>
      </rPr>
      <t xml:space="preserve">
Rewiew &amp; Comments</t>
    </r>
  </si>
  <si>
    <r>
      <rPr>
        <b/>
        <sz val="6"/>
        <color indexed="8"/>
        <rFont val="Arial"/>
        <family val="2"/>
        <charset val="238"/>
      </rPr>
      <t>Vzorec 1</t>
    </r>
    <r>
      <rPr>
        <sz val="6"/>
        <color indexed="8"/>
        <rFont val="Arial"/>
        <family val="2"/>
        <charset val="238"/>
      </rPr>
      <t xml:space="preserve">
Sample 1</t>
    </r>
  </si>
  <si>
    <r>
      <rPr>
        <b/>
        <sz val="6"/>
        <color indexed="8"/>
        <rFont val="Arial"/>
        <family val="2"/>
        <charset val="238"/>
      </rPr>
      <t>Vzorec 2</t>
    </r>
    <r>
      <rPr>
        <sz val="6"/>
        <color indexed="8"/>
        <rFont val="Arial"/>
        <family val="2"/>
        <charset val="238"/>
      </rPr>
      <t xml:space="preserve">
Sample 2</t>
    </r>
  </si>
  <si>
    <r>
      <rPr>
        <b/>
        <sz val="6"/>
        <color indexed="8"/>
        <rFont val="Arial"/>
        <family val="2"/>
        <charset val="238"/>
      </rPr>
      <t>Vzorec 3</t>
    </r>
    <r>
      <rPr>
        <sz val="6"/>
        <color indexed="8"/>
        <rFont val="Arial"/>
        <family val="2"/>
        <charset val="238"/>
      </rPr>
      <t xml:space="preserve">
Sample 3</t>
    </r>
  </si>
  <si>
    <r>
      <rPr>
        <b/>
        <sz val="6"/>
        <color indexed="8"/>
        <rFont val="Arial"/>
        <family val="2"/>
        <charset val="238"/>
      </rPr>
      <t>Vzorec 4</t>
    </r>
    <r>
      <rPr>
        <sz val="6"/>
        <color indexed="8"/>
        <rFont val="Arial"/>
        <family val="2"/>
        <charset val="238"/>
      </rPr>
      <t xml:space="preserve">
Sample 4</t>
    </r>
  </si>
  <si>
    <r>
      <rPr>
        <b/>
        <sz val="6"/>
        <color indexed="8"/>
        <rFont val="Arial"/>
        <family val="2"/>
        <charset val="238"/>
      </rPr>
      <t>Vzorec 5</t>
    </r>
    <r>
      <rPr>
        <sz val="6"/>
        <color indexed="8"/>
        <rFont val="Arial"/>
        <family val="2"/>
        <charset val="238"/>
      </rPr>
      <t xml:space="preserve">
Sample 5</t>
    </r>
  </si>
  <si>
    <r>
      <rPr>
        <b/>
        <sz val="7"/>
        <color indexed="8"/>
        <rFont val="Arial"/>
        <family val="2"/>
        <charset val="238"/>
      </rPr>
      <t>Dobavitelj</t>
    </r>
    <r>
      <rPr>
        <sz val="7"/>
        <color indexed="8"/>
        <rFont val="Arial"/>
        <family val="2"/>
        <charset val="238"/>
      </rPr>
      <t xml:space="preserve"> / Supplier</t>
    </r>
  </si>
  <si>
    <r>
      <rPr>
        <b/>
        <sz val="7"/>
        <color indexed="8"/>
        <rFont val="Arial"/>
        <family val="2"/>
        <charset val="238"/>
      </rPr>
      <t>Kupec</t>
    </r>
    <r>
      <rPr>
        <sz val="7"/>
        <color indexed="8"/>
        <rFont val="Arial"/>
        <family val="2"/>
        <charset val="238"/>
      </rPr>
      <t xml:space="preserve"> / Customer</t>
    </r>
  </si>
  <si>
    <r>
      <rPr>
        <b/>
        <sz val="5"/>
        <color indexed="8"/>
        <rFont val="Arial"/>
        <family val="2"/>
        <charset val="238"/>
      </rPr>
      <t>Pregled</t>
    </r>
    <r>
      <rPr>
        <sz val="5"/>
        <color indexed="8"/>
        <rFont val="Arial"/>
        <family val="2"/>
        <charset val="238"/>
      </rPr>
      <t xml:space="preserve"> /Rewiew</t>
    </r>
  </si>
  <si>
    <r>
      <rPr>
        <b/>
        <sz val="5"/>
        <color indexed="8"/>
        <rFont val="Arial"/>
        <family val="2"/>
        <charset val="238"/>
      </rPr>
      <t>Komentar</t>
    </r>
    <r>
      <rPr>
        <sz val="5"/>
        <color indexed="8"/>
        <rFont val="Arial"/>
        <family val="2"/>
        <charset val="238"/>
      </rPr>
      <t xml:space="preserve"> / Comments</t>
    </r>
  </si>
  <si>
    <t>Simboli / Symbols:</t>
    <phoneticPr fontId="0" type="noConversion"/>
  </si>
  <si>
    <r>
      <rPr>
        <b/>
        <sz val="10"/>
        <color indexed="8"/>
        <rFont val="Arial"/>
        <family val="2"/>
        <charset val="238"/>
      </rPr>
      <t>Toleranca</t>
    </r>
    <r>
      <rPr>
        <sz val="10"/>
        <color indexed="8"/>
        <rFont val="Arial"/>
        <family val="2"/>
        <charset val="238"/>
      </rPr>
      <t xml:space="preserve">
Tolerance</t>
    </r>
  </si>
  <si>
    <r>
      <rPr>
        <b/>
        <sz val="6"/>
        <rFont val="Arial"/>
        <family val="2"/>
        <charset val="238"/>
      </rPr>
      <t>Zgornja tolerančna meja</t>
    </r>
    <r>
      <rPr>
        <sz val="6"/>
        <rFont val="Arial"/>
        <family val="2"/>
        <charset val="238"/>
      </rPr>
      <t xml:space="preserve">
Upper dimension</t>
    </r>
  </si>
  <si>
    <r>
      <rPr>
        <b/>
        <sz val="6"/>
        <rFont val="Arial"/>
        <family val="2"/>
        <charset val="238"/>
      </rPr>
      <t>Spodnja tolerančna meja</t>
    </r>
    <r>
      <rPr>
        <sz val="6"/>
        <rFont val="Arial"/>
        <family val="2"/>
        <charset val="238"/>
      </rPr>
      <t xml:space="preserve">
Lower dimension</t>
    </r>
  </si>
  <si>
    <r>
      <rPr>
        <b/>
        <sz val="6"/>
        <color indexed="8"/>
        <rFont val="Arial"/>
        <family val="2"/>
        <charset val="238"/>
      </rPr>
      <t>Vzorec 5</t>
    </r>
    <r>
      <rPr>
        <sz val="6"/>
        <color indexed="8"/>
        <rFont val="Arial"/>
        <family val="2"/>
        <charset val="238"/>
      </rPr>
      <t xml:space="preserve">
Sample 6</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</si>
  <si>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7</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</si>
  <si>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8</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</si>
  <si>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9</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</si>
  <si>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10</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</si>
  <si>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11</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</si>
  <si>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12</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</si>
  <si>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13</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</si>
  <si>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14</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</si>
  <si>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15</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</si>
  <si>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16</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</si>
  <si>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17</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</si>
  <si>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18</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</si>
  <si>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19</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</si>
  <si>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20</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</si>
  <si>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21</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</si>
  <si>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22</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</si>
  <si>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23</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</si>
  <si>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24</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</si>
  <si>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25</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</si>
  <si>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26</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</si>
  <si>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27</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</si>
  <si>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28</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</si>
  <si>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29</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</si>
  <si>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30</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</si>
  <si>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31</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</si>
  <si>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32</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</si>
  <si>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33</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</si>
  <si>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34</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</si>
  <si>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35</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</si>
  <si>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36</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</si>
  <si>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37</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</si>
  <si>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38</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</si>
  <si>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39</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</si>
  <si>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40</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</si>
  <si>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41</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</si>
  <si>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42</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</si>
  <si>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43</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</si>
  <si>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44</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</si>
  <si>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45</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</si>
  <si>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46</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</si>
  <si>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47</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</si>
  <si>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48</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</si>
  <si>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49</t>
    </r>
    <r>
      <rPr>
        <sz val="11"/>
        <color theme="1"/>
        <rFont val="Calibri"/>
        <family val="2"/>
        <charset val="238"/>
        <scheme val="minor"/>
      </rPr>
      <t/>
    </r>
  </si>
  <si>
    <r>
      <rPr>
        <b/>
        <sz val="6"/>
        <color indexed="8"/>
        <rFont val="Arial"/>
        <family val="2"/>
        <charset val="238"/>
      </rPr>
      <t>Vzorec 5</t>
    </r>
    <r>
      <rPr>
        <sz val="6"/>
        <color indexed="8"/>
        <rFont val="Arial"/>
        <family val="2"/>
        <charset val="238"/>
      </rPr>
      <t xml:space="preserve">
Sample 50</t>
    </r>
    <r>
      <rPr>
        <sz val="11"/>
        <color theme="1"/>
        <rFont val="Calibri"/>
        <family val="2"/>
        <charset val="238"/>
        <scheme val="minor"/>
      </rPr>
      <t/>
    </r>
  </si>
  <si>
    <t>SUM</t>
  </si>
  <si>
    <t>CORRECTIVE ACTION REPORT</t>
  </si>
  <si>
    <t>Supplier Name:</t>
  </si>
  <si>
    <t>Attention:</t>
  </si>
  <si>
    <t>Phone:</t>
  </si>
  <si>
    <t>Supplier no:</t>
  </si>
  <si>
    <t>Report #:</t>
  </si>
  <si>
    <r>
      <t xml:space="preserve"> 1.  Problem Description</t>
    </r>
    <r>
      <rPr>
        <sz val="9"/>
        <color theme="1"/>
        <rFont val="Arial"/>
        <family val="2"/>
        <charset val="238"/>
      </rPr>
      <t xml:space="preserve"> - Include facts (i.e., where discovered, by whom, when), specifications, references and attachments</t>
    </r>
  </si>
  <si>
    <t>Customer:</t>
  </si>
  <si>
    <t>Purchase Order #:</t>
  </si>
  <si>
    <t>Customer Location:</t>
  </si>
  <si>
    <t>Customer Part #:</t>
  </si>
  <si>
    <t>Date Issued:</t>
  </si>
  <si>
    <t>Organization Part #:</t>
  </si>
  <si>
    <t>Issuer of report:</t>
  </si>
  <si>
    <t>Part Name:</t>
  </si>
  <si>
    <t>Issuer Phone:</t>
  </si>
  <si>
    <t>Quantity Shipped:</t>
  </si>
  <si>
    <t>Issuer email:</t>
  </si>
  <si>
    <t>Quantity Rejected:</t>
  </si>
  <si>
    <t>Pieces were defected during die-casting process, which resulted that diameters are out of specifications. Diameter is out of specification by + 0,1 mm to + 0,2 mm above maximum tolerance of 5,20 mm.</t>
  </si>
  <si>
    <t>(Photo/Sketch)</t>
  </si>
  <si>
    <t xml:space="preserve"> 2.  Team Roster</t>
  </si>
  <si>
    <t xml:space="preserve"> Name:</t>
  </si>
  <si>
    <t>Organization:</t>
  </si>
  <si>
    <t>Title:</t>
  </si>
  <si>
    <t>E-Mail:</t>
  </si>
  <si>
    <r>
      <t xml:space="preserve"> 3.  Containment Action</t>
    </r>
    <r>
      <rPr>
        <sz val="9"/>
        <color theme="1"/>
        <rFont val="Arial"/>
        <family val="2"/>
        <charset val="238"/>
      </rPr>
      <t xml:space="preserve"> - Interim action to immediately isolate the effect of the problem</t>
    </r>
  </si>
  <si>
    <t>#</t>
  </si>
  <si>
    <t>Task Description:</t>
  </si>
  <si>
    <t>Assigned to:</t>
  </si>
  <si>
    <t>Due Date:</t>
  </si>
  <si>
    <t>Effective Date:</t>
  </si>
  <si>
    <t>Results Achieved:</t>
  </si>
  <si>
    <t>3a</t>
  </si>
  <si>
    <t>Quarantine stock / stop delivery.</t>
  </si>
  <si>
    <t>3b</t>
  </si>
  <si>
    <t>Sort stock.</t>
  </si>
  <si>
    <r>
      <t xml:space="preserve"> 4.  Root Cause Analysis </t>
    </r>
    <r>
      <rPr>
        <sz val="9"/>
        <color theme="1"/>
        <rFont val="Arial"/>
        <family val="2"/>
        <charset val="238"/>
      </rPr>
      <t>- Underlying reasons why the problem OCCURED, why it was not DETECTED and why the related process, from a systemic viewpoint, ALLOWED the nonconformance to occur.</t>
    </r>
  </si>
  <si>
    <t xml:space="preserve"> 4a.  Identification of Root Causes and Priority Ranking</t>
  </si>
  <si>
    <t>(0 = No Impact, 1 = Low, 2 = Medium, 3 = High)</t>
  </si>
  <si>
    <t>Rank         (0 - 3)</t>
  </si>
  <si>
    <t xml:space="preserve"> Cause Categories:</t>
  </si>
  <si>
    <t>Description</t>
  </si>
  <si>
    <t xml:space="preserve"> People</t>
  </si>
  <si>
    <t xml:space="preserve"> Methods/Procedure</t>
  </si>
  <si>
    <t xml:space="preserve"> Equipment</t>
  </si>
  <si>
    <t xml:space="preserve"> Material</t>
  </si>
  <si>
    <t xml:space="preserve"> Environment</t>
  </si>
  <si>
    <t xml:space="preserve"> Measurement</t>
  </si>
  <si>
    <t xml:space="preserve"> 4b.  Five-Why Analysis of Root Causes - Answer why the problem occurred AND why it escaped system controls</t>
  </si>
  <si>
    <t xml:space="preserve"> Cause:</t>
  </si>
  <si>
    <t>Why?</t>
  </si>
  <si>
    <r>
      <t xml:space="preserve"> 5.  Corrective Action</t>
    </r>
    <r>
      <rPr>
        <sz val="9"/>
        <color theme="1"/>
        <rFont val="Arial"/>
        <family val="2"/>
        <charset val="238"/>
      </rPr>
      <t xml:space="preserve"> - Steps taken to eliminate root cause(s).</t>
    </r>
  </si>
  <si>
    <t xml:space="preserve"> The solution to this problem includes a detection mechanism or error-proofing device to prevent recurrence:     (  )  Yes       (  )  No       </t>
  </si>
  <si>
    <r>
      <t xml:space="preserve"> 6a.  Preventive Action</t>
    </r>
    <r>
      <rPr>
        <sz val="9"/>
        <color theme="1"/>
        <rFont val="Arial"/>
        <family val="2"/>
        <charset val="238"/>
      </rPr>
      <t xml:space="preserve"> - Steps taken to modify systems and procedures to prevent recurrence of a similar kind elsewhere</t>
    </r>
  </si>
  <si>
    <t xml:space="preserve"> 6b.  Read-Across - Steps taken to implement or share preventive action within other sites of the business unit or corporation.</t>
  </si>
  <si>
    <r>
      <t xml:space="preserve"> 7.  Verification </t>
    </r>
    <r>
      <rPr>
        <sz val="9"/>
        <color theme="1"/>
        <rFont val="Arial"/>
        <family val="2"/>
        <charset val="238"/>
      </rPr>
      <t>- Identify methods to verify completion and effectiveness of actions taken</t>
    </r>
  </si>
  <si>
    <t xml:space="preserve"> Verify the implementation and changes to:     (X)  Policies/Procedures       (X)  Work Instructions       (X)  FMEA       (X)  Control Plans       (  )  N/A</t>
  </si>
  <si>
    <t>Method:</t>
  </si>
  <si>
    <t>Results:</t>
  </si>
  <si>
    <r>
      <t xml:space="preserve"> 8a.  Supplier Management Review - </t>
    </r>
    <r>
      <rPr>
        <sz val="9"/>
        <color theme="1"/>
        <rFont val="Arial"/>
        <family val="2"/>
        <charset val="238"/>
      </rPr>
      <t>Endorsement and support by the organization responsible for correction</t>
    </r>
  </si>
  <si>
    <t xml:space="preserve">Date  </t>
  </si>
  <si>
    <t>Originator's Name:</t>
  </si>
  <si>
    <t>Sign:</t>
  </si>
  <si>
    <t>Approved:</t>
  </si>
  <si>
    <t>Top Management:</t>
  </si>
  <si>
    <r>
      <t xml:space="preserve"> </t>
    </r>
    <r>
      <rPr>
        <b/>
        <sz val="10"/>
        <color theme="1"/>
        <rFont val="Arial"/>
        <family val="2"/>
        <charset val="238"/>
      </rPr>
      <t>8b.  Final Closure</t>
    </r>
    <r>
      <rPr>
        <sz val="10"/>
        <color theme="1"/>
        <rFont val="Arial"/>
        <family val="2"/>
        <charset val="238"/>
      </rPr>
      <t xml:space="preserve"> - Parker responsible for closing Corrective Action Report</t>
    </r>
  </si>
  <si>
    <t>Quality Management</t>
  </si>
  <si>
    <t>Representative:</t>
  </si>
  <si>
    <t>Closed:</t>
  </si>
  <si>
    <t>Failure Accumulation Chart</t>
  </si>
  <si>
    <t>Gorenje</t>
  </si>
  <si>
    <t>Assy Plant:</t>
  </si>
  <si>
    <t>Time Period</t>
  </si>
  <si>
    <t>Assy Line:</t>
  </si>
  <si>
    <t>Test Character:</t>
  </si>
  <si>
    <t>Part Description:</t>
  </si>
  <si>
    <t>Test Frequency:</t>
  </si>
  <si>
    <t>Department:</t>
  </si>
  <si>
    <t>Total</t>
  </si>
  <si>
    <t># of noncon. Parts</t>
  </si>
  <si>
    <t># of tested Parts</t>
  </si>
  <si>
    <t>ppm:</t>
  </si>
  <si>
    <t>Control Limit (ppm)</t>
  </si>
  <si>
    <t>Critical to Quality?</t>
  </si>
  <si>
    <t>MSA</t>
  </si>
  <si>
    <t>Script/Code Function ID/Description</t>
  </si>
  <si>
    <t>SUM OF PRODUCTS</t>
  </si>
  <si>
    <t>Pareto Analysis</t>
  </si>
  <si>
    <t>Failure Type /Name</t>
  </si>
  <si>
    <t>Nr. Failures</t>
  </si>
  <si>
    <t>Procentage</t>
  </si>
  <si>
    <t>Sum %</t>
  </si>
  <si>
    <t>Nr. Produced</t>
  </si>
  <si>
    <t>DATE:</t>
  </si>
  <si>
    <t>REVISION:</t>
  </si>
  <si>
    <t>PREPEARED:</t>
  </si>
  <si>
    <t>Standard Measurement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</si>
</sst>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dd\-mmm\-yy"/>
    <numFmt numFmtId="166" formatCode="0.000"/>
    <numFmt numFmtId="168" formatCode="dd/mm/yyyy"/>
    <numFmt numFmtId="169" formatCode="dd/mm/yy"/>
    <numFmt numFmtId="170" formatCode="mm/dd/yy"/>
    <numFmt numFmtId="171" formatCode="yyyy\-mm\-dd;@"/>
    <numFmt numFmtId="172" formatCode="0.0"/>
    <numFmt numFmtId="173" formatCode="[$-424]General"/>
    <numFmt numFmtId="174" formatCode="[$-424]d&quot;.&quot;m&quot;.&quot;yyyy&quot; &quot;h&quot;:&quot;mm"/>
    <numFmt numFmtId="175" formatCode="yyyy&quot;.&quot;mm&quot;.&quot;dd;@"/>
    <numFmt numFmtId="176" formatCode="mm&quot;.&quot;dd&quot;.&quot;yy"/>
    <numFmt numFmtId="177" formatCode="[$-424]dd&quot;.&quot;mm&quot;.&quot;yy"/>
    <numFmt numFmtId="178" formatCode="[$-424]d&quot;.&quot;m&quot;.&quot;yyyy"/>
    <numFmt numFmtId="179" formatCode="dd&quot;.&quot;mm&quot;.&quot;yy"/>
    <numFmt numFmtId="180" formatCode="d&quot;.&quot;mm&quot;.&quot;yyyy"/>
  </numFmts>
  <fonts count="142">
    <font>
      <sz val="10"/>
      <name val="Arial"/>
      <family val="2"/>
      <charset val="238"/>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u/>
      <sz val="10"/>
      <color indexed="12"/>
      <name val="Arial"/>
      <family val="2"/>
    </font>
    <font>
      <sz val="10"/>
      <name val="Arial"/>
      <family val="2"/>
      <charset val="238"/>
    </font>
    <font>
      <b/>
      <sz val="16"/>
      <name val="Arial"/>
      <family val="2"/>
    </font>
    <font>
      <b/>
      <sz val="15"/>
      <color theme="3"/>
      <name val="Calibri"/>
      <family val="2"/>
      <scheme val="minor"/>
    </font>
    <font>
      <b/>
      <sz val="24"/>
      <color theme="0"/>
      <name val="Calibri"/>
      <family val="2"/>
      <scheme val="minor"/>
    </font>
    <font>
      <sz val="12"/>
      <color theme="0"/>
      <name val="Calibri"/>
      <family val="2"/>
      <scheme val="minor"/>
    </font>
    <font>
      <sz val="12"/>
      <color indexed="8"/>
      <name val="Calibri"/>
      <family val="2"/>
      <charset val="1"/>
    </font>
    <font>
      <sz val="8"/>
      <name val="Arial"/>
      <family val="2"/>
    </font>
    <font>
      <sz val="12"/>
      <color theme="1"/>
      <name val="Calibri"/>
      <family val="2"/>
      <scheme val="minor"/>
    </font>
    <font>
      <b/>
      <sz val="10"/>
      <name val="Arial"/>
      <family val="2"/>
    </font>
    <font>
      <sz val="10"/>
      <color theme="1"/>
      <name val="Calibri"/>
      <family val="2"/>
      <scheme val="minor"/>
    </font>
    <font>
      <b/>
      <sz val="10"/>
      <color indexed="8"/>
      <name val="Calibri"/>
      <family val="2"/>
      <charset val="238"/>
      <scheme val="minor"/>
    </font>
    <font>
      <sz val="10"/>
      <name val="Calibri"/>
      <family val="2"/>
      <charset val="238"/>
      <scheme val="minor"/>
    </font>
    <font>
      <sz val="10"/>
      <color indexed="8"/>
      <name val="Calibri"/>
      <family val="2"/>
      <charset val="238"/>
      <scheme val="minor"/>
    </font>
    <font>
      <sz val="10"/>
      <color indexed="8"/>
      <name val="Calibri"/>
      <family val="2"/>
      <charset val="1"/>
    </font>
    <font>
      <sz val="10"/>
      <name val="Arial"/>
      <family val="2"/>
    </font>
    <font>
      <b/>
      <sz val="10"/>
      <name val="Calibri"/>
      <family val="2"/>
      <charset val="1"/>
    </font>
    <font>
      <sz val="11"/>
      <color theme="0"/>
      <name val="Calibri"/>
      <family val="2"/>
      <scheme val="minor"/>
    </font>
    <font>
      <sz val="10"/>
      <color theme="0"/>
      <name val="Calibri"/>
      <family val="2"/>
      <scheme val="minor"/>
    </font>
    <font>
      <b/>
      <sz val="10"/>
      <color theme="1"/>
      <name val="Calibri"/>
      <family val="2"/>
      <scheme val="minor"/>
    </font>
    <font>
      <sz val="10"/>
      <name val="Calibri"/>
      <family val="2"/>
      <scheme val="minor"/>
    </font>
    <font>
      <b/>
      <sz val="10"/>
      <name val="Calibri"/>
      <family val="2"/>
      <scheme val="minor"/>
    </font>
    <font>
      <b/>
      <sz val="14"/>
      <color theme="0"/>
      <name val="Arial"/>
      <family val="2"/>
    </font>
    <font>
      <sz val="10"/>
      <color theme="0"/>
      <name val="Arial"/>
      <family val="2"/>
    </font>
    <font>
      <sz val="10"/>
      <color rgb="FF0000FF"/>
      <name val="Arial"/>
      <family val="2"/>
    </font>
    <font>
      <sz val="16"/>
      <color rgb="FF0000FF"/>
      <name val="Arial"/>
      <family val="2"/>
    </font>
    <font>
      <sz val="16"/>
      <color theme="0"/>
      <name val="Arial"/>
      <family val="2"/>
    </font>
    <font>
      <sz val="16"/>
      <name val="Arial"/>
      <family val="2"/>
    </font>
    <font>
      <u/>
      <sz val="10"/>
      <name val="Arial"/>
      <family val="2"/>
    </font>
    <font>
      <b/>
      <sz val="12"/>
      <name val="Arial"/>
      <family val="2"/>
    </font>
    <font>
      <sz val="11"/>
      <color theme="1"/>
      <name val="Calibri"/>
      <family val="2"/>
      <scheme val="minor"/>
    </font>
    <font>
      <sz val="10"/>
      <color theme="4" tint="-0.499984740745262"/>
      <name val="Calibri"/>
      <family val="2"/>
      <charset val="238"/>
      <scheme val="minor"/>
    </font>
    <font>
      <sz val="10"/>
      <color theme="1"/>
      <name val="Calibri"/>
      <family val="2"/>
      <charset val="238"/>
      <scheme val="minor"/>
    </font>
    <font>
      <sz val="11"/>
      <color theme="4" tint="-0.499984740745262"/>
      <name val="Calibri"/>
      <family val="2"/>
      <charset val="238"/>
      <scheme val="minor"/>
    </font>
    <font>
      <sz val="8"/>
      <name val="Calibri"/>
      <family val="2"/>
      <charset val="238"/>
      <scheme val="minor"/>
    </font>
    <font>
      <sz val="8"/>
      <color theme="4" tint="-0.499984740745262"/>
      <name val="Calibri"/>
      <family val="2"/>
      <charset val="238"/>
      <scheme val="minor"/>
    </font>
    <font>
      <b/>
      <sz val="12"/>
      <name val="Calibri"/>
      <family val="2"/>
      <charset val="238"/>
      <scheme val="minor"/>
    </font>
    <font>
      <u/>
      <sz val="11"/>
      <color theme="1"/>
      <name val="Calibri"/>
      <family val="2"/>
      <charset val="238"/>
      <scheme val="minor"/>
    </font>
    <font>
      <sz val="8"/>
      <color theme="1"/>
      <name val="Calibri"/>
      <family val="2"/>
      <charset val="238"/>
      <scheme val="minor"/>
    </font>
    <font>
      <sz val="6"/>
      <name val="Calibri"/>
      <family val="2"/>
      <charset val="238"/>
      <scheme val="minor"/>
    </font>
    <font>
      <sz val="10"/>
      <color indexed="8"/>
      <name val="Arial"/>
      <family val="2"/>
      <charset val="238"/>
    </font>
    <font>
      <sz val="10"/>
      <color theme="1"/>
      <name val="Arial"/>
      <family val="2"/>
      <charset val="238"/>
    </font>
    <font>
      <b/>
      <sz val="10"/>
      <name val="Arial"/>
      <family val="2"/>
      <charset val="238"/>
    </font>
    <font>
      <sz val="10"/>
      <name val="MS Sans Serif"/>
      <family val="2"/>
      <charset val="238"/>
    </font>
    <font>
      <i/>
      <sz val="10"/>
      <name val="Calibri"/>
      <family val="2"/>
      <charset val="238"/>
    </font>
    <font>
      <b/>
      <i/>
      <sz val="14"/>
      <name val="Calibri"/>
      <family val="2"/>
      <charset val="238"/>
    </font>
    <font>
      <b/>
      <i/>
      <sz val="20"/>
      <name val="Calibri"/>
      <family val="2"/>
      <charset val="238"/>
    </font>
    <font>
      <b/>
      <i/>
      <sz val="10"/>
      <name val="Calibri"/>
      <family val="2"/>
      <charset val="238"/>
    </font>
    <font>
      <b/>
      <i/>
      <sz val="10"/>
      <color indexed="8"/>
      <name val="Calibri"/>
      <family val="2"/>
      <charset val="238"/>
    </font>
    <font>
      <i/>
      <sz val="10"/>
      <color indexed="8"/>
      <name val="Calibri"/>
      <family val="2"/>
      <charset val="238"/>
    </font>
    <font>
      <i/>
      <sz val="10"/>
      <color indexed="9"/>
      <name val="Calibri"/>
      <family val="2"/>
      <charset val="238"/>
    </font>
    <font>
      <i/>
      <sz val="9"/>
      <name val="Calibri"/>
      <family val="2"/>
      <charset val="238"/>
    </font>
    <font>
      <b/>
      <i/>
      <sz val="9"/>
      <color indexed="8"/>
      <name val="Calibri"/>
      <family val="2"/>
      <charset val="238"/>
    </font>
    <font>
      <u/>
      <sz val="10"/>
      <color indexed="12"/>
      <name val="MS Sans Serif"/>
      <family val="2"/>
      <charset val="238"/>
    </font>
    <font>
      <i/>
      <u/>
      <sz val="10"/>
      <color indexed="12"/>
      <name val="Calibri"/>
      <family val="2"/>
      <charset val="238"/>
    </font>
    <font>
      <b/>
      <i/>
      <sz val="9"/>
      <name val="Calibri"/>
      <family val="2"/>
      <charset val="238"/>
    </font>
    <font>
      <b/>
      <i/>
      <sz val="8"/>
      <color indexed="8"/>
      <name val="Calibri"/>
      <family val="2"/>
      <charset val="238"/>
    </font>
    <font>
      <b/>
      <i/>
      <sz val="8"/>
      <name val="Calibri"/>
      <family val="2"/>
      <charset val="238"/>
    </font>
    <font>
      <i/>
      <sz val="8"/>
      <name val="Calibri"/>
      <family val="2"/>
      <charset val="238"/>
    </font>
    <font>
      <i/>
      <sz val="8"/>
      <color indexed="8"/>
      <name val="Calibri"/>
      <family val="2"/>
      <charset val="238"/>
    </font>
    <font>
      <b/>
      <i/>
      <sz val="10"/>
      <name val="Arial"/>
      <family val="2"/>
      <charset val="238"/>
    </font>
    <font>
      <sz val="5"/>
      <name val="Arial"/>
      <family val="2"/>
      <charset val="238"/>
    </font>
    <font>
      <i/>
      <sz val="12"/>
      <color indexed="8"/>
      <name val="Calibri"/>
      <family val="2"/>
      <charset val="238"/>
    </font>
    <font>
      <i/>
      <sz val="12"/>
      <name val="Calibri"/>
      <family val="2"/>
      <charset val="238"/>
    </font>
    <font>
      <sz val="12"/>
      <color indexed="8"/>
      <name val="Tahoma"/>
      <family val="2"/>
      <charset val="238"/>
    </font>
    <font>
      <b/>
      <sz val="12"/>
      <color indexed="8"/>
      <name val="Tahoma"/>
      <family val="2"/>
      <charset val="238"/>
    </font>
    <font>
      <b/>
      <sz val="18"/>
      <color indexed="18"/>
      <name val="MS Sans Serif"/>
      <family val="2"/>
      <charset val="238"/>
    </font>
    <font>
      <b/>
      <sz val="12"/>
      <name val="MS Sans Serif"/>
      <family val="2"/>
      <charset val="238"/>
    </font>
    <font>
      <sz val="12"/>
      <name val="MS Sans Serif"/>
      <family val="2"/>
      <charset val="238"/>
    </font>
    <font>
      <b/>
      <sz val="9"/>
      <color indexed="8"/>
      <name val="Tahoma"/>
      <family val="2"/>
      <charset val="238"/>
    </font>
    <font>
      <sz val="12"/>
      <color indexed="18"/>
      <name val="MS Sans Serif"/>
      <family val="2"/>
      <charset val="238"/>
    </font>
    <font>
      <b/>
      <sz val="12"/>
      <color indexed="18"/>
      <name val="MS Sans Serif"/>
      <family val="2"/>
      <charset val="238"/>
    </font>
    <font>
      <b/>
      <sz val="10"/>
      <name val="MS Sans Serif"/>
      <family val="2"/>
      <charset val="238"/>
    </font>
    <font>
      <b/>
      <sz val="13"/>
      <name val="Arial"/>
      <family val="2"/>
      <charset val="238"/>
    </font>
    <font>
      <b/>
      <sz val="8"/>
      <name val="Arial"/>
      <family val="2"/>
      <charset val="238"/>
    </font>
    <font>
      <sz val="8"/>
      <name val="Arial"/>
      <family val="2"/>
      <charset val="238"/>
    </font>
    <font>
      <sz val="6"/>
      <name val="Arial"/>
      <family val="2"/>
      <charset val="238"/>
    </font>
    <font>
      <b/>
      <sz val="10"/>
      <color rgb="FF0070C0"/>
      <name val="Arial"/>
      <family val="2"/>
      <charset val="238"/>
    </font>
    <font>
      <sz val="10"/>
      <color indexed="12"/>
      <name val="Arial"/>
      <family val="2"/>
      <charset val="238"/>
    </font>
    <font>
      <b/>
      <sz val="8"/>
      <color rgb="FF0070C0"/>
      <name val="Arial"/>
      <family val="2"/>
      <charset val="238"/>
    </font>
    <font>
      <b/>
      <sz val="6"/>
      <color rgb="FF0070C0"/>
      <name val="Arial"/>
      <family val="2"/>
      <charset val="238"/>
    </font>
    <font>
      <b/>
      <sz val="7"/>
      <name val="Arial"/>
      <family val="2"/>
      <charset val="238"/>
    </font>
    <font>
      <sz val="7"/>
      <name val="Arial"/>
      <family val="2"/>
      <charset val="238"/>
    </font>
    <font>
      <b/>
      <sz val="6"/>
      <name val="Arial"/>
      <family val="2"/>
      <charset val="238"/>
    </font>
    <font>
      <b/>
      <sz val="7"/>
      <color rgb="FF0070C0"/>
      <name val="Arial"/>
      <family val="2"/>
      <charset val="238"/>
    </font>
    <font>
      <sz val="7"/>
      <color indexed="30"/>
      <name val="Arial"/>
      <family val="2"/>
      <charset val="238"/>
    </font>
    <font>
      <b/>
      <sz val="14"/>
      <name val="Arial"/>
      <family val="2"/>
      <charset val="238"/>
    </font>
    <font>
      <b/>
      <sz val="8"/>
      <color indexed="8"/>
      <name val="Arial"/>
      <family val="2"/>
      <charset val="238"/>
    </font>
    <font>
      <sz val="8"/>
      <color indexed="8"/>
      <name val="Arial"/>
      <family val="2"/>
      <charset val="238"/>
    </font>
    <font>
      <b/>
      <sz val="7"/>
      <color indexed="8"/>
      <name val="Arial"/>
      <family val="2"/>
      <charset val="238"/>
    </font>
    <font>
      <sz val="7"/>
      <color indexed="8"/>
      <name val="Arial"/>
      <family val="2"/>
      <charset val="238"/>
    </font>
    <font>
      <b/>
      <sz val="6"/>
      <color indexed="8"/>
      <name val="Arial"/>
      <family val="2"/>
      <charset val="238"/>
    </font>
    <font>
      <sz val="6"/>
      <color indexed="8"/>
      <name val="Arial"/>
      <family val="2"/>
      <charset val="238"/>
    </font>
    <font>
      <sz val="5"/>
      <color indexed="8"/>
      <name val="Arial"/>
      <family val="2"/>
      <charset val="238"/>
    </font>
    <font>
      <b/>
      <sz val="5"/>
      <color indexed="8"/>
      <name val="Arial"/>
      <family val="2"/>
      <charset val="238"/>
    </font>
    <font>
      <sz val="8"/>
      <color theme="1"/>
      <name val="Arial"/>
      <family val="2"/>
      <charset val="238"/>
    </font>
    <font>
      <b/>
      <sz val="8"/>
      <color indexed="17"/>
      <name val="Arial CE"/>
      <charset val="238"/>
    </font>
    <font>
      <sz val="10"/>
      <name val="Arial CE"/>
    </font>
    <font>
      <b/>
      <sz val="12"/>
      <name val="Arial CE"/>
    </font>
    <font>
      <i/>
      <sz val="10"/>
      <color indexed="12"/>
      <name val="Arial CE"/>
    </font>
    <font>
      <i/>
      <sz val="10"/>
      <name val="Arial CE"/>
    </font>
    <font>
      <i/>
      <sz val="12"/>
      <name val="Arial CE"/>
    </font>
    <font>
      <sz val="12"/>
      <name val="Arial CE"/>
    </font>
    <font>
      <b/>
      <sz val="8"/>
      <name val="Arial CE"/>
    </font>
    <font>
      <b/>
      <i/>
      <sz val="8"/>
      <name val="Arial CE"/>
    </font>
    <font>
      <b/>
      <sz val="10"/>
      <color indexed="8"/>
      <name val="Arial"/>
      <family val="2"/>
      <charset val="238"/>
    </font>
    <font>
      <sz val="11"/>
      <color rgb="FF006100"/>
      <name val="Calibri"/>
      <family val="2"/>
      <scheme val="minor"/>
    </font>
    <font>
      <sz val="11"/>
      <color rgb="FF000000"/>
      <name val="Calibri"/>
      <family val="2"/>
      <charset val="238"/>
    </font>
    <font>
      <b/>
      <i/>
      <sz val="16"/>
      <color rgb="FF808080"/>
      <name val="Calibri"/>
      <family val="2"/>
      <charset val="238"/>
    </font>
    <font>
      <i/>
      <sz val="16"/>
      <color rgb="FF808080"/>
      <name val="Calibri"/>
      <family val="2"/>
      <charset val="238"/>
    </font>
    <font>
      <i/>
      <sz val="11"/>
      <color rgb="FF808080"/>
      <name val="Calibri"/>
      <family val="2"/>
      <charset val="238"/>
    </font>
    <font>
      <b/>
      <i/>
      <sz val="12"/>
      <color rgb="FF808080"/>
      <name val="Calibri"/>
      <family val="2"/>
      <charset val="238"/>
    </font>
    <font>
      <i/>
      <sz val="12"/>
      <color rgb="FF808080"/>
      <name val="Calibri"/>
      <family val="2"/>
      <charset val="238"/>
    </font>
    <font>
      <i/>
      <sz val="10"/>
      <color rgb="FF808080"/>
      <name val="Calibri"/>
      <family val="2"/>
      <charset val="238"/>
    </font>
    <font>
      <sz val="11"/>
      <color rgb="FF008000"/>
      <name val="Calibri"/>
      <family val="2"/>
      <charset val="238"/>
    </font>
    <font>
      <b/>
      <i/>
      <sz val="10"/>
      <color rgb="FF808080"/>
      <name val="Calibri"/>
      <family val="2"/>
      <charset val="238"/>
    </font>
    <font>
      <b/>
      <i/>
      <sz val="11"/>
      <color rgb="FF808080"/>
      <name val="Calibri"/>
      <family val="2"/>
      <charset val="238"/>
    </font>
    <font>
      <sz val="16"/>
      <color rgb="FF000000"/>
      <name val="Calibri"/>
      <family val="2"/>
      <charset val="238"/>
    </font>
    <font>
      <sz val="10"/>
      <color theme="1"/>
      <name val="Arial1"/>
      <charset val="238"/>
    </font>
    <font>
      <sz val="9"/>
      <color theme="1"/>
      <name val="Arial"/>
      <family val="2"/>
      <charset val="238"/>
    </font>
    <font>
      <b/>
      <sz val="14"/>
      <color theme="1"/>
      <name val="Arial"/>
      <family val="2"/>
      <charset val="238"/>
    </font>
    <font>
      <b/>
      <sz val="12"/>
      <color theme="1"/>
      <name val="Arial"/>
      <family val="2"/>
      <charset val="238"/>
    </font>
    <font>
      <sz val="11"/>
      <color theme="1"/>
      <name val="Arial"/>
      <family val="2"/>
      <charset val="238"/>
    </font>
    <font>
      <b/>
      <sz val="16"/>
      <color theme="1"/>
      <name val="Arial"/>
      <family val="2"/>
      <charset val="238"/>
    </font>
    <font>
      <b/>
      <sz val="9"/>
      <color theme="1"/>
      <name val="Arial"/>
      <family val="2"/>
      <charset val="238"/>
    </font>
    <font>
      <b/>
      <sz val="10"/>
      <color theme="1"/>
      <name val="Arial"/>
      <family val="2"/>
      <charset val="238"/>
    </font>
    <font>
      <u/>
      <sz val="10"/>
      <color rgb="FF0000FF"/>
      <name val="Arial"/>
      <family val="2"/>
      <charset val="238"/>
    </font>
    <font>
      <i/>
      <sz val="9"/>
      <color theme="1"/>
      <name val="Arial"/>
      <family val="2"/>
      <charset val="238"/>
    </font>
    <font>
      <i/>
      <sz val="8"/>
      <color theme="1"/>
      <name val="Arial"/>
      <family val="2"/>
      <charset val="238"/>
    </font>
    <font>
      <sz val="7"/>
      <color theme="1"/>
      <name val="Arial"/>
      <family val="2"/>
      <charset val="238"/>
    </font>
    <font>
      <sz val="11"/>
      <color rgb="FF000000"/>
      <name val="Arial"/>
      <family val="2"/>
      <charset val="238"/>
    </font>
    <font>
      <sz val="10"/>
      <color rgb="FF000000"/>
      <name val="Arial"/>
      <family val="2"/>
      <charset val="238"/>
    </font>
    <font>
      <b/>
      <sz val="18"/>
      <color rgb="FF000000"/>
      <name val="Arial"/>
      <family val="2"/>
      <charset val="238"/>
    </font>
    <font>
      <b/>
      <sz val="12"/>
      <color rgb="FF000000"/>
      <name val="Arial"/>
      <family val="2"/>
      <charset val="238"/>
    </font>
    <font>
      <b/>
      <sz val="11"/>
      <color rgb="FF000000"/>
      <name val="Arial"/>
      <family val="2"/>
      <charset val="238"/>
    </font>
    <font>
      <b/>
      <sz val="10"/>
      <color rgb="FF000000"/>
      <name val="Arial"/>
      <family val="2"/>
      <charset val="238"/>
    </font>
    <font>
      <sz val="9"/>
      <color rgb="FF000000"/>
      <name val="Arial"/>
      <family val="2"/>
      <charset val="238"/>
    </font>
    <font>
      <sz val="10"/>
      <color rgb="FFFFFFFF"/>
      <name val="Arial"/>
      <family val="2"/>
      <charset val="238"/>
    </font>
  </fonts>
  <fills count="36">
    <fill>
      <patternFill patternType="none"/>
    </fill>
    <fill>
      <patternFill patternType="gray125"/>
    </fill>
    <fill>
      <patternFill patternType="solid">
        <fgColor theme="5"/>
      </patternFill>
    </fill>
    <fill>
      <patternFill patternType="solid">
        <fgColor theme="5" tint="0.39997558519241921"/>
        <bgColor indexed="65"/>
      </patternFill>
    </fill>
    <fill>
      <patternFill patternType="solid">
        <fgColor theme="3" tint="0.39997558519241921"/>
        <bgColor indexed="64"/>
      </patternFill>
    </fill>
    <fill>
      <patternFill patternType="solid">
        <fgColor indexed="9"/>
        <bgColor indexed="64"/>
      </patternFill>
    </fill>
    <fill>
      <patternFill patternType="solid">
        <fgColor rgb="FFC00000"/>
        <bgColor indexed="64"/>
      </patternFill>
    </fill>
    <fill>
      <patternFill patternType="solid">
        <fgColor theme="8" tint="0.79998168889431442"/>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C6EFCE"/>
      </patternFill>
    </fill>
    <fill>
      <patternFill patternType="solid">
        <fgColor indexed="11"/>
        <bgColor indexed="49"/>
      </patternFill>
    </fill>
    <fill>
      <patternFill patternType="solid">
        <fgColor indexed="13"/>
        <bgColor indexed="34"/>
      </patternFill>
    </fill>
    <fill>
      <patternFill patternType="solid">
        <fgColor indexed="22"/>
        <bgColor indexed="44"/>
      </patternFill>
    </fill>
    <fill>
      <patternFill patternType="solid">
        <fgColor indexed="10"/>
        <bgColor indexed="60"/>
      </patternFill>
    </fill>
    <fill>
      <patternFill patternType="solid">
        <fgColor indexed="9"/>
        <bgColor indexed="26"/>
      </patternFill>
    </fill>
    <fill>
      <patternFill patternType="solid">
        <fgColor indexed="19"/>
        <bgColor indexed="55"/>
      </patternFill>
    </fill>
    <fill>
      <patternFill patternType="solid">
        <fgColor theme="0"/>
        <bgColor indexed="64"/>
      </patternFill>
    </fill>
    <fill>
      <patternFill patternType="solid">
        <fgColor theme="0"/>
        <bgColor indexed="26"/>
      </patternFill>
    </fill>
    <fill>
      <patternFill patternType="solid">
        <fgColor theme="2"/>
        <bgColor indexed="64"/>
      </patternFill>
    </fill>
    <fill>
      <patternFill patternType="solid">
        <fgColor indexed="43"/>
        <bgColor indexed="64"/>
      </patternFill>
    </fill>
    <fill>
      <patternFill patternType="solid">
        <fgColor rgb="FFCCCCCC"/>
        <bgColor rgb="FFCCCCCC"/>
      </patternFill>
    </fill>
    <fill>
      <patternFill patternType="solid">
        <fgColor rgb="FFCCFFCC"/>
        <bgColor rgb="FFCCFFCC"/>
      </patternFill>
    </fill>
    <fill>
      <patternFill patternType="solid">
        <fgColor rgb="FFFFFFFF"/>
        <bgColor rgb="FFFFFFFF"/>
      </patternFill>
    </fill>
    <fill>
      <patternFill patternType="solid">
        <fgColor rgb="FFC0C0C0"/>
        <bgColor rgb="FFC0C0C0"/>
      </patternFill>
    </fill>
    <fill>
      <patternFill patternType="solid">
        <fgColor theme="2" tint="-0.89999084444715716"/>
        <bgColor indexed="64"/>
      </patternFill>
    </fill>
    <fill>
      <patternFill patternType="solid">
        <fgColor theme="4" tint="0.39997558519241921"/>
        <bgColor rgb="FFCCFFCC"/>
      </patternFill>
    </fill>
    <fill>
      <patternFill patternType="solid">
        <fgColor theme="4" tint="0.39997558519241921"/>
        <bgColor indexed="23"/>
      </patternFill>
    </fill>
    <fill>
      <patternFill patternType="solid">
        <fgColor theme="4" tint="0.79998168889431442"/>
        <bgColor indexed="42"/>
      </patternFill>
    </fill>
    <fill>
      <patternFill patternType="solid">
        <fgColor theme="4" tint="0.59999389629810485"/>
        <bgColor indexed="23"/>
      </patternFill>
    </fill>
    <fill>
      <patternFill patternType="solid">
        <fgColor theme="4" tint="-0.249977111117893"/>
        <bgColor indexed="23"/>
      </patternFill>
    </fill>
  </fills>
  <borders count="182">
    <border>
      <left/>
      <right/>
      <top/>
      <bottom/>
      <diagonal/>
    </border>
    <border>
      <left/>
      <right/>
      <top/>
      <bottom style="thick">
        <color theme="4"/>
      </bottom>
      <diagonal/>
    </border>
    <border>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right/>
      <top style="thin">
        <color indexed="8"/>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style="medium">
        <color indexed="8"/>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medium">
        <color indexed="64"/>
      </right>
      <top style="thin">
        <color indexed="64"/>
      </top>
      <bottom style="thin">
        <color indexed="64"/>
      </bottom>
      <diagonal/>
    </border>
    <border>
      <left style="medium">
        <color indexed="8"/>
      </left>
      <right style="thin">
        <color indexed="8"/>
      </right>
      <top/>
      <bottom/>
      <diagonal/>
    </border>
    <border>
      <left style="thin">
        <color indexed="8"/>
      </left>
      <right style="thin">
        <color indexed="8"/>
      </right>
      <top/>
      <bottom/>
      <diagonal/>
    </border>
    <border>
      <left style="medium">
        <color indexed="8"/>
      </left>
      <right style="thin">
        <color indexed="8"/>
      </right>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8"/>
      </left>
      <right/>
      <top/>
      <bottom/>
      <diagonal/>
    </border>
    <border>
      <left/>
      <right/>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medium">
        <color indexed="64"/>
      </right>
      <top/>
      <bottom style="medium">
        <color auto="1"/>
      </bottom>
      <diagonal/>
    </border>
    <border>
      <left style="medium">
        <color indexed="64"/>
      </left>
      <right style="thin">
        <color indexed="64"/>
      </right>
      <top/>
      <bottom style="medium">
        <color auto="1"/>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thin">
        <color indexed="64"/>
      </left>
      <right style="medium">
        <color indexed="64"/>
      </right>
      <top style="medium">
        <color indexed="64"/>
      </top>
      <bottom/>
      <diagonal/>
    </border>
    <border>
      <left style="thin">
        <color indexed="8"/>
      </left>
      <right/>
      <top style="thin">
        <color indexed="8"/>
      </top>
      <bottom/>
      <diagonal/>
    </border>
    <border>
      <left style="thin">
        <color rgb="FF000000"/>
      </left>
      <right style="thin">
        <color rgb="FF000000"/>
      </right>
      <top style="thin">
        <color rgb="FF000000"/>
      </top>
      <bottom/>
      <diagonal/>
    </border>
    <border>
      <left/>
      <right style="thin">
        <color indexed="8"/>
      </right>
      <top/>
      <bottom style="thin">
        <color indexed="8"/>
      </bottom>
      <diagonal/>
    </border>
    <border>
      <left style="thin">
        <color rgb="FF000000"/>
      </left>
      <right style="thin">
        <color rgb="FF000000"/>
      </right>
      <top style="thin">
        <color rgb="FF000000"/>
      </top>
      <bottom style="thin">
        <color rgb="FF000000"/>
      </bottom>
      <diagonal/>
    </border>
    <border>
      <left style="thin">
        <color indexed="8"/>
      </left>
      <right/>
      <top/>
      <bottom/>
      <diagonal/>
    </border>
    <border>
      <left style="thin">
        <color indexed="8"/>
      </left>
      <right/>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top style="medium">
        <color indexed="8"/>
      </top>
      <bottom/>
      <diagonal/>
    </border>
    <border>
      <left style="medium">
        <color indexed="8"/>
      </left>
      <right style="medium">
        <color indexed="8"/>
      </right>
      <top style="medium">
        <color indexed="8"/>
      </top>
      <bottom style="medium">
        <color indexed="8"/>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top/>
      <bottom style="hair">
        <color indexed="8"/>
      </bottom>
      <diagonal/>
    </border>
    <border>
      <left/>
      <right/>
      <top/>
      <bottom style="hair">
        <color indexed="8"/>
      </bottom>
      <diagonal/>
    </border>
    <border>
      <left/>
      <right style="medium">
        <color indexed="8"/>
      </right>
      <top/>
      <bottom style="hair">
        <color indexed="8"/>
      </bottom>
      <diagonal/>
    </border>
    <border>
      <left style="thin">
        <color indexed="8"/>
      </left>
      <right style="medium">
        <color indexed="8"/>
      </right>
      <top style="hair">
        <color indexed="8"/>
      </top>
      <bottom/>
      <diagonal/>
    </border>
    <border>
      <left style="thin">
        <color indexed="8"/>
      </left>
      <right/>
      <top style="hair">
        <color indexed="8"/>
      </top>
      <bottom/>
      <diagonal/>
    </border>
    <border>
      <left style="thin">
        <color indexed="8"/>
      </left>
      <right style="medium">
        <color indexed="8"/>
      </right>
      <top style="hair">
        <color indexed="8"/>
      </top>
      <bottom style="thin">
        <color indexed="8"/>
      </bottom>
      <diagonal/>
    </border>
    <border>
      <left/>
      <right style="medium">
        <color indexed="8"/>
      </right>
      <top/>
      <bottom/>
      <diagonal/>
    </border>
    <border>
      <left style="medium">
        <color indexed="8"/>
      </left>
      <right style="medium">
        <color indexed="8"/>
      </right>
      <top/>
      <bottom/>
      <diagonal/>
    </border>
    <border>
      <left style="hair">
        <color indexed="8"/>
      </left>
      <right style="hair">
        <color indexed="8"/>
      </right>
      <top style="hair">
        <color indexed="8"/>
      </top>
      <bottom style="hair">
        <color indexed="8"/>
      </bottom>
      <diagonal/>
    </border>
    <border>
      <left/>
      <right style="hair">
        <color indexed="8"/>
      </right>
      <top/>
      <bottom style="hair">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style="thin">
        <color indexed="8"/>
      </left>
      <right/>
      <top style="thin">
        <color indexed="8"/>
      </top>
      <bottom style="thin">
        <color indexed="8"/>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top style="medium">
        <color indexed="8"/>
      </top>
      <bottom style="medium">
        <color indexed="8"/>
      </bottom>
      <diagonal/>
    </border>
    <border>
      <left/>
      <right style="thin">
        <color indexed="8"/>
      </right>
      <top style="medium">
        <color indexed="8"/>
      </top>
      <bottom/>
      <diagonal/>
    </border>
    <border>
      <left style="thin">
        <color indexed="8"/>
      </left>
      <right style="thin">
        <color indexed="8"/>
      </right>
      <top style="medium">
        <color indexed="8"/>
      </top>
      <bottom style="medium">
        <color indexed="8"/>
      </bottom>
      <diagonal/>
    </border>
    <border>
      <left/>
      <right style="thin">
        <color indexed="8"/>
      </right>
      <top/>
      <bottom style="medium">
        <color indexed="8"/>
      </bottom>
      <diagonal/>
    </border>
    <border>
      <left style="medium">
        <color indexed="8"/>
      </left>
      <right style="thin">
        <color indexed="8"/>
      </right>
      <top/>
      <bottom style="hair">
        <color indexed="8"/>
      </bottom>
      <diagonal/>
    </border>
    <border>
      <left/>
      <right style="thin">
        <color indexed="8"/>
      </right>
      <top/>
      <bottom style="hair">
        <color indexed="8"/>
      </bottom>
      <diagonal/>
    </border>
    <border>
      <left style="thin">
        <color indexed="8"/>
      </left>
      <right style="thin">
        <color indexed="8"/>
      </right>
      <top/>
      <bottom style="hair">
        <color indexed="8"/>
      </bottom>
      <diagonal/>
    </border>
    <border>
      <left style="thin">
        <color indexed="8"/>
      </left>
      <right/>
      <top style="hair">
        <color indexed="8"/>
      </top>
      <bottom style="hair">
        <color indexed="8"/>
      </bottom>
      <diagonal/>
    </border>
    <border>
      <left style="medium">
        <color indexed="8"/>
      </left>
      <right style="thin">
        <color indexed="8"/>
      </right>
      <top style="hair">
        <color indexed="8"/>
      </top>
      <bottom style="hair">
        <color indexed="8"/>
      </bottom>
      <diagonal/>
    </border>
    <border>
      <left style="thin">
        <color indexed="8"/>
      </left>
      <right style="thin">
        <color indexed="8"/>
      </right>
      <top style="hair">
        <color indexed="8"/>
      </top>
      <bottom style="hair">
        <color indexed="8"/>
      </bottom>
      <diagonal/>
    </border>
    <border>
      <left/>
      <right style="thin">
        <color indexed="8"/>
      </right>
      <top style="hair">
        <color indexed="8"/>
      </top>
      <bottom style="hair">
        <color indexed="8"/>
      </bottom>
      <diagonal/>
    </border>
    <border>
      <left style="medium">
        <color indexed="8"/>
      </left>
      <right style="thin">
        <color indexed="8"/>
      </right>
      <top style="hair">
        <color indexed="8"/>
      </top>
      <bottom style="medium">
        <color indexed="8"/>
      </bottom>
      <diagonal/>
    </border>
    <border>
      <left style="thin">
        <color indexed="8"/>
      </left>
      <right/>
      <top style="hair">
        <color indexed="8"/>
      </top>
      <bottom style="medium">
        <color indexed="8"/>
      </bottom>
      <diagonal/>
    </border>
    <border>
      <left style="thin">
        <color indexed="8"/>
      </left>
      <right style="thin">
        <color indexed="8"/>
      </right>
      <top style="hair">
        <color indexed="8"/>
      </top>
      <bottom style="medium">
        <color indexed="8"/>
      </bottom>
      <diagonal/>
    </border>
    <border>
      <left style="thin">
        <color indexed="8"/>
      </left>
      <right style="thin">
        <color indexed="8"/>
      </right>
      <top/>
      <bottom style="medium">
        <color indexed="8"/>
      </bottom>
      <diagonal/>
    </border>
    <border>
      <left/>
      <right style="thin">
        <color indexed="8"/>
      </right>
      <top style="hair">
        <color indexed="8"/>
      </top>
      <bottom style="medium">
        <color indexed="8"/>
      </bottom>
      <diagonal/>
    </border>
    <border>
      <left/>
      <right/>
      <top style="medium">
        <color indexed="8"/>
      </top>
      <bottom/>
      <diagonal/>
    </border>
    <border>
      <left style="thin">
        <color indexed="8"/>
      </left>
      <right style="thin">
        <color indexed="8"/>
      </right>
      <top style="medium">
        <color indexed="8"/>
      </top>
      <bottom/>
      <diagonal/>
    </border>
    <border>
      <left/>
      <right style="thin">
        <color indexed="8"/>
      </right>
      <top/>
      <bottom/>
      <diagonal/>
    </border>
    <border>
      <left style="thin">
        <color indexed="8"/>
      </left>
      <right style="medium">
        <color indexed="8"/>
      </right>
      <top/>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style="medium">
        <color indexed="8"/>
      </top>
      <bottom/>
      <diagonal/>
    </border>
    <border>
      <left style="thin">
        <color indexed="8"/>
      </left>
      <right style="medium">
        <color indexed="8"/>
      </right>
      <top style="thin">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style="medium">
        <color indexed="8"/>
      </top>
      <bottom style="thin">
        <color indexed="8"/>
      </bottom>
      <diagonal/>
    </border>
    <border>
      <left/>
      <right style="thin">
        <color indexed="8"/>
      </right>
      <top style="thin">
        <color indexed="8"/>
      </top>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diagonal/>
    </border>
    <border>
      <left style="thin">
        <color rgb="FF000000"/>
      </left>
      <right/>
      <top/>
      <bottom/>
      <diagonal/>
    </border>
    <border>
      <left/>
      <right style="thin">
        <color rgb="FF000000"/>
      </right>
      <top/>
      <bottom/>
      <diagonal/>
    </border>
    <border>
      <left/>
      <right style="thin">
        <color rgb="FF000000"/>
      </right>
      <top style="thin">
        <color rgb="FF000000"/>
      </top>
      <bottom/>
      <diagonal/>
    </border>
    <border diagonalDown="1">
      <left style="thin">
        <color rgb="FF000000"/>
      </left>
      <right style="thin">
        <color rgb="FF000000"/>
      </right>
      <top style="thin">
        <color rgb="FF000000"/>
      </top>
      <bottom style="thin">
        <color rgb="FF000000"/>
      </bottom>
      <diagonal style="thin">
        <color rgb="FF000000"/>
      </diagonal>
    </border>
    <border>
      <left style="medium">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thin">
        <color indexed="64"/>
      </left>
      <right style="thin">
        <color indexed="64"/>
      </right>
      <top/>
      <bottom style="thin">
        <color indexed="8"/>
      </bottom>
      <diagonal/>
    </border>
    <border>
      <left style="medium">
        <color indexed="64"/>
      </left>
      <right/>
      <top style="thin">
        <color indexed="8"/>
      </top>
      <bottom/>
      <diagonal/>
    </border>
    <border>
      <left/>
      <right style="medium">
        <color indexed="64"/>
      </right>
      <top style="thin">
        <color indexed="8"/>
      </top>
      <bottom/>
      <diagonal/>
    </border>
    <border>
      <left style="medium">
        <color indexed="64"/>
      </left>
      <right/>
      <top style="medium">
        <color indexed="64"/>
      </top>
      <bottom style="thin">
        <color indexed="8"/>
      </bottom>
      <diagonal/>
    </border>
    <border>
      <left/>
      <right style="medium">
        <color indexed="64"/>
      </right>
      <top style="medium">
        <color indexed="64"/>
      </top>
      <bottom style="thin">
        <color indexed="8"/>
      </bottom>
      <diagonal/>
    </border>
    <border>
      <left style="thin">
        <color indexed="8"/>
      </left>
      <right style="medium">
        <color indexed="8"/>
      </right>
      <top style="thin">
        <color indexed="8"/>
      </top>
      <bottom/>
      <diagonal/>
    </border>
    <border>
      <left style="medium">
        <color indexed="8"/>
      </left>
      <right style="medium">
        <color indexed="8"/>
      </right>
      <top style="medium">
        <color indexed="8"/>
      </top>
      <bottom/>
      <diagonal/>
    </border>
  </borders>
  <cellStyleXfs count="27">
    <xf numFmtId="0" fontId="0" fillId="0" borderId="0"/>
    <xf numFmtId="0" fontId="7" fillId="0" borderId="1" applyNumberFormat="0" applyFill="0" applyAlignment="0" applyProtection="0"/>
    <xf numFmtId="0" fontId="21" fillId="2" borderId="0" applyNumberFormat="0" applyBorder="0" applyAlignment="0" applyProtection="0"/>
    <xf numFmtId="0" fontId="21" fillId="3" borderId="0" applyNumberFormat="0" applyBorder="0" applyAlignment="0" applyProtection="0"/>
    <xf numFmtId="0" fontId="4" fillId="0" borderId="0" applyNumberFormat="0" applyFill="0" applyBorder="0" applyAlignment="0" applyProtection="0">
      <alignment vertical="top"/>
      <protection locked="0"/>
    </xf>
    <xf numFmtId="0" fontId="5" fillId="0" borderId="0"/>
    <xf numFmtId="38" fontId="11" fillId="5" borderId="0" applyNumberFormat="0" applyBorder="0" applyAlignment="0" applyProtection="0"/>
    <xf numFmtId="0" fontId="19" fillId="0" borderId="0"/>
    <xf numFmtId="0" fontId="34" fillId="0" borderId="0"/>
    <xf numFmtId="0" fontId="47" fillId="0" borderId="0"/>
    <xf numFmtId="0" fontId="57" fillId="0" borderId="0" applyNumberFormat="0" applyFill="0" applyBorder="0" applyAlignment="0" applyProtection="0"/>
    <xf numFmtId="0" fontId="5" fillId="0" borderId="0"/>
    <xf numFmtId="0" fontId="5" fillId="0" borderId="0"/>
    <xf numFmtId="0" fontId="2" fillId="0" borderId="0"/>
    <xf numFmtId="0" fontId="5" fillId="0" borderId="0"/>
    <xf numFmtId="0" fontId="101" fillId="0" borderId="0"/>
    <xf numFmtId="0" fontId="110" fillId="15" borderId="0" applyNumberFormat="0" applyBorder="0" applyAlignment="0" applyProtection="0"/>
    <xf numFmtId="0" fontId="111" fillId="0" borderId="0"/>
    <xf numFmtId="9" fontId="111" fillId="0" borderId="0"/>
    <xf numFmtId="0" fontId="118" fillId="27" borderId="0"/>
    <xf numFmtId="9" fontId="111" fillId="0" borderId="0"/>
    <xf numFmtId="0" fontId="118" fillId="27" borderId="0"/>
    <xf numFmtId="173" fontId="122" fillId="0" borderId="0"/>
    <xf numFmtId="0" fontId="126" fillId="0" borderId="0"/>
    <xf numFmtId="173" fontId="130" fillId="0" borderId="0"/>
    <xf numFmtId="0" fontId="134" fillId="0" borderId="0"/>
    <xf numFmtId="9" fontId="135" fillId="0" borderId="0" applyBorder="0" applyProtection="0"/>
  </cellStyleXfs>
  <cellXfs count="1211">
    <xf numFmtId="0" fontId="0" fillId="0" borderId="0" xfId="0"/>
    <xf numFmtId="14" fontId="12" fillId="0" borderId="0" xfId="0" applyNumberFormat="1" applyFont="1" applyBorder="1" applyAlignment="1">
      <alignment horizontal="left" indent="1"/>
    </xf>
    <xf numFmtId="0" fontId="9" fillId="4" borderId="8" xfId="0" applyFont="1" applyFill="1" applyBorder="1" applyAlignment="1">
      <alignment horizontal="left" indent="1"/>
    </xf>
    <xf numFmtId="0" fontId="16" fillId="0" borderId="32" xfId="5" applyFont="1" applyFill="1" applyBorder="1" applyAlignment="1">
      <alignment vertical="center" wrapText="1"/>
    </xf>
    <xf numFmtId="0" fontId="17" fillId="0" borderId="32" xfId="5" applyFont="1" applyBorder="1" applyAlignment="1">
      <alignment horizontal="left" vertical="center" wrapText="1"/>
    </xf>
    <xf numFmtId="0" fontId="18" fillId="0" borderId="32" xfId="5" applyFont="1" applyBorder="1" applyAlignment="1">
      <alignment horizontal="center" vertical="center"/>
    </xf>
    <xf numFmtId="0" fontId="20" fillId="0" borderId="32" xfId="7" applyFont="1" applyFill="1" applyBorder="1" applyAlignment="1" applyProtection="1">
      <alignment horizontal="center" vertical="center" wrapText="1" readingOrder="1"/>
      <protection locked="0"/>
    </xf>
    <xf numFmtId="0" fontId="18" fillId="0" borderId="32" xfId="5" applyFont="1" applyBorder="1" applyAlignment="1">
      <alignment vertical="center" wrapText="1"/>
    </xf>
    <xf numFmtId="0" fontId="18" fillId="0" borderId="32" xfId="5" applyFont="1" applyBorder="1" applyAlignment="1">
      <alignment horizontal="left" vertical="center" wrapText="1" indent="1"/>
    </xf>
    <xf numFmtId="0" fontId="22" fillId="6" borderId="24" xfId="2" applyFont="1" applyFill="1" applyBorder="1" applyAlignment="1">
      <alignment horizontal="center" vertical="center"/>
    </xf>
    <xf numFmtId="0" fontId="5" fillId="7" borderId="24" xfId="0" applyFont="1" applyFill="1" applyBorder="1" applyAlignment="1">
      <alignment horizontal="center" vertical="center"/>
    </xf>
    <xf numFmtId="0" fontId="0" fillId="7" borderId="24" xfId="0" applyFill="1" applyBorder="1" applyAlignment="1">
      <alignment horizontal="center" vertical="center"/>
    </xf>
    <xf numFmtId="0" fontId="21" fillId="8" borderId="33" xfId="3" applyFill="1" applyBorder="1" applyAlignment="1">
      <alignment horizontal="center" vertical="center"/>
    </xf>
    <xf numFmtId="0" fontId="17" fillId="0" borderId="32" xfId="5" applyFont="1" applyBorder="1" applyAlignment="1">
      <alignment vertical="center" wrapText="1"/>
    </xf>
    <xf numFmtId="0" fontId="0" fillId="7" borderId="24" xfId="0" applyFill="1" applyBorder="1" applyAlignment="1">
      <alignment horizontal="left" vertical="center" wrapText="1" indent="1"/>
    </xf>
    <xf numFmtId="0" fontId="0" fillId="7" borderId="24" xfId="0" applyFill="1" applyBorder="1" applyAlignment="1">
      <alignment horizontal="left" vertical="center" indent="1"/>
    </xf>
    <xf numFmtId="0" fontId="23" fillId="0" borderId="23" xfId="0" applyFont="1" applyFill="1" applyBorder="1" applyAlignment="1">
      <alignment horizontal="center" vertical="center"/>
    </xf>
    <xf numFmtId="0" fontId="24" fillId="0" borderId="24" xfId="0" applyFont="1" applyFill="1" applyBorder="1" applyAlignment="1">
      <alignment horizontal="left" vertical="center" wrapText="1"/>
    </xf>
    <xf numFmtId="0" fontId="24" fillId="0" borderId="24" xfId="0" applyFont="1" applyFill="1" applyBorder="1" applyAlignment="1">
      <alignment horizontal="left" vertical="center" wrapText="1" indent="1"/>
    </xf>
    <xf numFmtId="0" fontId="14" fillId="0" borderId="24" xfId="0" applyFont="1" applyBorder="1" applyAlignment="1">
      <alignment horizontal="center" vertical="center" wrapText="1"/>
    </xf>
    <xf numFmtId="0" fontId="14" fillId="0" borderId="24" xfId="0" applyFont="1" applyBorder="1" applyAlignment="1">
      <alignment horizontal="left" vertical="center" wrapText="1"/>
    </xf>
    <xf numFmtId="0" fontId="14" fillId="0" borderId="24" xfId="0" applyFont="1" applyBorder="1" applyAlignment="1">
      <alignment horizontal="center" vertical="center"/>
    </xf>
    <xf numFmtId="0" fontId="25" fillId="0" borderId="24" xfId="7" applyFont="1" applyFill="1" applyBorder="1" applyAlignment="1" applyProtection="1">
      <alignment horizontal="center" vertical="center" wrapText="1" readingOrder="1"/>
      <protection locked="0"/>
    </xf>
    <xf numFmtId="0" fontId="14" fillId="0" borderId="24" xfId="0" applyFont="1" applyBorder="1" applyAlignment="1">
      <alignment horizontal="left" vertical="center"/>
    </xf>
    <xf numFmtId="0" fontId="14" fillId="0" borderId="24" xfId="0" applyFont="1" applyBorder="1" applyAlignment="1">
      <alignment horizontal="left" vertical="center" wrapText="1" indent="1"/>
    </xf>
    <xf numFmtId="0" fontId="19" fillId="0" borderId="24" xfId="0" applyFont="1" applyFill="1" applyBorder="1" applyAlignment="1">
      <alignment horizontal="left" vertical="center" wrapText="1"/>
    </xf>
    <xf numFmtId="0" fontId="19" fillId="0" borderId="24" xfId="0" applyFont="1" applyFill="1" applyBorder="1" applyAlignment="1">
      <alignment horizontal="left" vertical="center" wrapText="1" indent="1"/>
    </xf>
    <xf numFmtId="0" fontId="14" fillId="0" borderId="24" xfId="0" applyFont="1" applyFill="1" applyBorder="1" applyAlignment="1">
      <alignment horizontal="center" vertical="center" wrapText="1"/>
    </xf>
    <xf numFmtId="0" fontId="0" fillId="0" borderId="24" xfId="0" applyBorder="1" applyAlignment="1">
      <alignment horizontal="left" wrapText="1"/>
    </xf>
    <xf numFmtId="0" fontId="0" fillId="0" borderId="24" xfId="0" applyBorder="1" applyAlignment="1">
      <alignment horizontal="center" vertical="center"/>
    </xf>
    <xf numFmtId="0" fontId="0" fillId="0" borderId="24" xfId="0" applyBorder="1"/>
    <xf numFmtId="0" fontId="0" fillId="0" borderId="24" xfId="0" applyBorder="1" applyAlignment="1">
      <alignment horizontal="left" wrapText="1" indent="1"/>
    </xf>
    <xf numFmtId="0" fontId="0" fillId="0" borderId="24" xfId="0" applyBorder="1" applyAlignment="1">
      <alignment wrapText="1"/>
    </xf>
    <xf numFmtId="0" fontId="0" fillId="0" borderId="24" xfId="0" applyBorder="1" applyAlignment="1">
      <alignment horizontal="left"/>
    </xf>
    <xf numFmtId="0" fontId="0" fillId="0" borderId="24" xfId="0" applyBorder="1" applyAlignment="1">
      <alignment horizontal="left" indent="1"/>
    </xf>
    <xf numFmtId="0" fontId="24" fillId="0" borderId="42" xfId="0" applyFont="1" applyFill="1" applyBorder="1" applyAlignment="1">
      <alignment horizontal="left" vertical="center" wrapText="1"/>
    </xf>
    <xf numFmtId="0" fontId="19" fillId="0" borderId="23" xfId="0" applyFont="1" applyFill="1" applyBorder="1" applyAlignment="1">
      <alignment horizontal="center" vertical="center" wrapText="1"/>
    </xf>
    <xf numFmtId="0" fontId="23" fillId="0" borderId="43" xfId="0" applyFont="1" applyFill="1" applyBorder="1" applyAlignment="1">
      <alignment horizontal="center" vertical="center"/>
    </xf>
    <xf numFmtId="0" fontId="24" fillId="0" borderId="44" xfId="0" applyFont="1" applyFill="1" applyBorder="1" applyAlignment="1">
      <alignment horizontal="left" vertical="center" wrapText="1"/>
    </xf>
    <xf numFmtId="0" fontId="24" fillId="0" borderId="27" xfId="0" applyFont="1" applyFill="1" applyBorder="1" applyAlignment="1">
      <alignment horizontal="left" vertical="center" wrapText="1" indent="1"/>
    </xf>
    <xf numFmtId="0" fontId="14" fillId="0" borderId="45" xfId="0" applyFont="1" applyBorder="1" applyAlignment="1">
      <alignment horizontal="center" vertical="center" wrapText="1"/>
    </xf>
    <xf numFmtId="0" fontId="14" fillId="0" borderId="45" xfId="0" applyFont="1" applyBorder="1" applyAlignment="1">
      <alignment horizontal="left" vertical="center" wrapText="1"/>
    </xf>
    <xf numFmtId="0" fontId="14" fillId="0" borderId="45" xfId="0" applyFont="1" applyBorder="1" applyAlignment="1">
      <alignment horizontal="center" vertical="center"/>
    </xf>
    <xf numFmtId="0" fontId="25" fillId="0" borderId="45" xfId="7" applyFont="1" applyFill="1" applyBorder="1" applyAlignment="1" applyProtection="1">
      <alignment horizontal="center" vertical="center" wrapText="1" readingOrder="1"/>
      <protection locked="0"/>
    </xf>
    <xf numFmtId="0" fontId="14" fillId="0" borderId="45" xfId="0" applyFont="1" applyBorder="1" applyAlignment="1">
      <alignment horizontal="left" vertical="center"/>
    </xf>
    <xf numFmtId="0" fontId="14" fillId="0" borderId="45" xfId="0" applyFont="1" applyBorder="1" applyAlignment="1">
      <alignment horizontal="left" vertical="center" wrapText="1" indent="1"/>
    </xf>
    <xf numFmtId="0" fontId="0" fillId="7" borderId="45" xfId="0" applyFill="1" applyBorder="1" applyAlignment="1">
      <alignment horizontal="left" vertical="center" wrapText="1" indent="1"/>
    </xf>
    <xf numFmtId="0" fontId="0" fillId="7" borderId="45" xfId="0" applyFill="1" applyBorder="1" applyAlignment="1">
      <alignment horizontal="left" vertical="center" indent="1"/>
    </xf>
    <xf numFmtId="0" fontId="0" fillId="7" borderId="45" xfId="0" applyFill="1" applyBorder="1" applyAlignment="1">
      <alignment horizontal="center" vertical="center"/>
    </xf>
    <xf numFmtId="0" fontId="9" fillId="9" borderId="10" xfId="0" applyFont="1" applyFill="1" applyBorder="1" applyAlignment="1">
      <alignment horizontal="right"/>
    </xf>
    <xf numFmtId="0" fontId="9" fillId="9" borderId="12" xfId="0" applyFont="1" applyFill="1" applyBorder="1" applyAlignment="1"/>
    <xf numFmtId="0" fontId="9" fillId="9" borderId="11" xfId="0" applyFont="1" applyFill="1" applyBorder="1" applyAlignment="1">
      <alignment horizontal="left"/>
    </xf>
    <xf numFmtId="0" fontId="13" fillId="10" borderId="27" xfId="0" applyFont="1" applyFill="1" applyBorder="1" applyAlignment="1">
      <alignment horizontal="center" vertical="center" wrapText="1"/>
    </xf>
    <xf numFmtId="0" fontId="13" fillId="10" borderId="27" xfId="0" applyFont="1" applyFill="1" applyBorder="1" applyAlignment="1">
      <alignment horizontal="center" vertical="center" textRotation="90"/>
    </xf>
    <xf numFmtId="0" fontId="13" fillId="10" borderId="29" xfId="0" applyFont="1" applyFill="1" applyBorder="1" applyAlignment="1">
      <alignment horizontal="center" vertical="center" textRotation="90"/>
    </xf>
    <xf numFmtId="0" fontId="13" fillId="10" borderId="18" xfId="0" applyFont="1" applyFill="1" applyBorder="1" applyAlignment="1">
      <alignment horizontal="center" vertical="center" textRotation="90"/>
    </xf>
    <xf numFmtId="0" fontId="9" fillId="9" borderId="48" xfId="0" applyFont="1" applyFill="1" applyBorder="1" applyAlignment="1">
      <alignment horizontal="right"/>
    </xf>
    <xf numFmtId="0" fontId="9" fillId="9" borderId="48" xfId="0" applyFont="1" applyFill="1" applyBorder="1" applyAlignment="1"/>
    <xf numFmtId="0" fontId="4" fillId="10" borderId="2" xfId="4" applyFill="1" applyBorder="1" applyAlignment="1" applyProtection="1">
      <alignment horizontal="center" vertical="center"/>
    </xf>
    <xf numFmtId="0" fontId="0" fillId="10" borderId="2" xfId="0" applyFill="1" applyBorder="1"/>
    <xf numFmtId="0" fontId="19" fillId="0" borderId="23" xfId="0" applyFont="1" applyBorder="1" applyAlignment="1" applyProtection="1">
      <alignment horizontal="center" vertical="center" wrapText="1"/>
      <protection locked="0"/>
    </xf>
    <xf numFmtId="0" fontId="19" fillId="0" borderId="61" xfId="0" applyFont="1" applyBorder="1" applyAlignment="1" applyProtection="1">
      <alignment horizontal="center" vertical="center" wrapText="1"/>
      <protection locked="0"/>
    </xf>
    <xf numFmtId="0" fontId="19" fillId="0" borderId="24" xfId="0" applyFont="1" applyBorder="1" applyAlignment="1" applyProtection="1">
      <alignment horizontal="center" vertical="center" wrapText="1"/>
      <protection locked="0"/>
    </xf>
    <xf numFmtId="0" fontId="0" fillId="0" borderId="24" xfId="0" applyBorder="1" applyAlignment="1">
      <alignment horizontal="center" vertical="center" wrapText="1"/>
    </xf>
    <xf numFmtId="0" fontId="0" fillId="12" borderId="24" xfId="0" applyFill="1" applyBorder="1" applyAlignment="1" applyProtection="1">
      <alignment horizontal="center" vertical="center" wrapText="1"/>
      <protection locked="0"/>
    </xf>
    <xf numFmtId="0" fontId="27" fillId="11" borderId="25" xfId="0" applyFont="1" applyFill="1" applyBorder="1" applyAlignment="1">
      <alignment horizontal="center" vertical="center" wrapText="1"/>
    </xf>
    <xf numFmtId="0" fontId="19" fillId="0" borderId="33" xfId="0" applyFont="1" applyBorder="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27" fillId="11" borderId="62" xfId="0" applyFont="1" applyFill="1" applyBorder="1" applyAlignment="1">
      <alignment horizontal="center" vertical="center" wrapText="1"/>
    </xf>
    <xf numFmtId="0" fontId="0" fillId="0" borderId="23" xfId="0" applyBorder="1" applyAlignment="1" applyProtection="1">
      <alignment vertical="top" wrapText="1"/>
      <protection locked="0"/>
    </xf>
    <xf numFmtId="0" fontId="0" fillId="0" borderId="61"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0" borderId="23" xfId="0" applyBorder="1" applyAlignment="1" applyProtection="1">
      <alignment horizontal="center" vertical="center" wrapText="1"/>
      <protection locked="0"/>
    </xf>
    <xf numFmtId="0" fontId="0" fillId="0" borderId="61" xfId="0" applyBorder="1" applyAlignment="1" applyProtection="1">
      <alignment vertical="top" wrapText="1"/>
      <protection locked="0"/>
    </xf>
    <xf numFmtId="0" fontId="0" fillId="0" borderId="24" xfId="0" applyBorder="1" applyAlignment="1" applyProtection="1">
      <alignment vertical="top" wrapText="1"/>
      <protection locked="0"/>
    </xf>
    <xf numFmtId="0" fontId="0" fillId="0" borderId="24" xfId="0" applyBorder="1" applyAlignment="1">
      <alignment vertical="top" wrapText="1"/>
    </xf>
    <xf numFmtId="0" fontId="0" fillId="12" borderId="24" xfId="0" applyFill="1" applyBorder="1" applyAlignment="1" applyProtection="1">
      <alignment horizontal="center" vertical="top" wrapText="1"/>
      <protection locked="0"/>
    </xf>
    <xf numFmtId="0" fontId="0" fillId="0" borderId="24" xfId="0" applyBorder="1" applyAlignment="1" applyProtection="1">
      <alignment horizontal="center" vertical="top" wrapText="1"/>
      <protection locked="0"/>
    </xf>
    <xf numFmtId="0" fontId="0" fillId="12" borderId="24" xfId="0" applyFill="1" applyBorder="1" applyAlignment="1" applyProtection="1">
      <alignment vertical="top" wrapText="1"/>
      <protection locked="0"/>
    </xf>
    <xf numFmtId="0" fontId="0" fillId="0" borderId="33" xfId="0" applyBorder="1" applyAlignment="1" applyProtection="1">
      <alignment vertical="top" wrapText="1"/>
      <protection locked="0"/>
    </xf>
    <xf numFmtId="0" fontId="0" fillId="0" borderId="23" xfId="0" applyBorder="1" applyAlignment="1" applyProtection="1">
      <alignment horizontal="center" vertical="top" wrapText="1"/>
      <protection locked="0"/>
    </xf>
    <xf numFmtId="0" fontId="0" fillId="0" borderId="63" xfId="0" applyBorder="1" applyAlignment="1" applyProtection="1">
      <alignment vertical="top" wrapText="1"/>
      <protection locked="0"/>
    </xf>
    <xf numFmtId="0" fontId="0" fillId="0" borderId="64" xfId="0" applyBorder="1" applyAlignment="1" applyProtection="1">
      <alignment vertical="top" wrapText="1"/>
      <protection locked="0"/>
    </xf>
    <xf numFmtId="0" fontId="0" fillId="0" borderId="27" xfId="0" applyBorder="1" applyAlignment="1" applyProtection="1">
      <alignment vertical="top" wrapText="1"/>
      <protection locked="0"/>
    </xf>
    <xf numFmtId="0" fontId="0" fillId="0" borderId="27" xfId="0" applyBorder="1" applyAlignment="1">
      <alignment vertical="top" wrapText="1"/>
    </xf>
    <xf numFmtId="0" fontId="0" fillId="12" borderId="27" xfId="0" applyFill="1" applyBorder="1" applyAlignment="1" applyProtection="1">
      <alignment horizontal="center" vertical="top" wrapText="1"/>
      <protection locked="0"/>
    </xf>
    <xf numFmtId="0" fontId="0" fillId="0" borderId="27" xfId="0" applyBorder="1" applyAlignment="1" applyProtection="1">
      <alignment horizontal="center" vertical="top" wrapText="1"/>
      <protection locked="0"/>
    </xf>
    <xf numFmtId="0" fontId="0" fillId="12" borderId="27" xfId="0" applyFill="1" applyBorder="1" applyAlignment="1" applyProtection="1">
      <alignment vertical="top" wrapText="1"/>
      <protection locked="0"/>
    </xf>
    <xf numFmtId="0" fontId="0" fillId="0" borderId="29" xfId="0" applyBorder="1" applyAlignment="1" applyProtection="1">
      <alignment vertical="top" wrapText="1"/>
      <protection locked="0"/>
    </xf>
    <xf numFmtId="0" fontId="0" fillId="0" borderId="63" xfId="0" applyBorder="1" applyAlignment="1" applyProtection="1">
      <alignment horizontal="center" vertical="top" wrapText="1"/>
      <protection locked="0"/>
    </xf>
    <xf numFmtId="0" fontId="0" fillId="0" borderId="43" xfId="0" applyBorder="1" applyAlignment="1" applyProtection="1">
      <alignment vertical="top" wrapText="1"/>
      <protection locked="0"/>
    </xf>
    <xf numFmtId="0" fontId="0" fillId="0" borderId="65" xfId="0" applyBorder="1" applyAlignment="1" applyProtection="1">
      <alignment vertical="top" wrapText="1"/>
      <protection locked="0"/>
    </xf>
    <xf numFmtId="0" fontId="0" fillId="0" borderId="45" xfId="0" applyBorder="1" applyAlignment="1" applyProtection="1">
      <alignment vertical="top" wrapText="1"/>
      <protection locked="0"/>
    </xf>
    <xf numFmtId="0" fontId="0" fillId="0" borderId="45" xfId="0" applyBorder="1" applyAlignment="1">
      <alignment vertical="top" wrapText="1"/>
    </xf>
    <xf numFmtId="0" fontId="0" fillId="12" borderId="45" xfId="0" applyFill="1" applyBorder="1" applyAlignment="1" applyProtection="1">
      <alignment horizontal="center" vertical="top" wrapText="1"/>
      <protection locked="0"/>
    </xf>
    <xf numFmtId="0" fontId="0" fillId="0" borderId="45" xfId="0" applyBorder="1" applyAlignment="1" applyProtection="1">
      <alignment horizontal="center" vertical="top" wrapText="1"/>
      <protection locked="0"/>
    </xf>
    <xf numFmtId="0" fontId="0" fillId="12" borderId="45" xfId="0" applyFill="1" applyBorder="1" applyAlignment="1" applyProtection="1">
      <alignment vertical="top" wrapText="1"/>
      <protection locked="0"/>
    </xf>
    <xf numFmtId="0" fontId="0" fillId="0" borderId="60" xfId="0" applyBorder="1" applyAlignment="1" applyProtection="1">
      <alignment vertical="top" wrapText="1"/>
      <protection locked="0"/>
    </xf>
    <xf numFmtId="0" fontId="0" fillId="0" borderId="43" xfId="0" applyBorder="1" applyAlignment="1" applyProtection="1">
      <alignment horizontal="center" vertical="top" wrapText="1"/>
      <protection locked="0"/>
    </xf>
    <xf numFmtId="0" fontId="27" fillId="13" borderId="6" xfId="0" applyFont="1" applyFill="1" applyBorder="1" applyAlignment="1" applyProtection="1">
      <alignment horizontal="right" vertical="center"/>
      <protection locked="0"/>
    </xf>
    <xf numFmtId="0" fontId="29" fillId="13" borderId="0" xfId="0" applyFont="1" applyFill="1" applyAlignment="1" applyProtection="1">
      <alignment horizontal="center" vertical="center"/>
      <protection locked="0"/>
    </xf>
    <xf numFmtId="0" fontId="19" fillId="13" borderId="0" xfId="0" applyFont="1" applyFill="1" applyAlignment="1" applyProtection="1">
      <alignment horizontal="center" vertical="center"/>
      <protection locked="0"/>
    </xf>
    <xf numFmtId="0" fontId="30" fillId="13" borderId="0" xfId="0" applyFont="1" applyFill="1" applyAlignment="1" applyProtection="1">
      <alignment horizontal="center" vertical="center"/>
      <protection locked="0"/>
    </xf>
    <xf numFmtId="0" fontId="0" fillId="13" borderId="0" xfId="0" applyFill="1"/>
    <xf numFmtId="0" fontId="6" fillId="13" borderId="0" xfId="0" applyFont="1" applyFill="1" applyAlignment="1" applyProtection="1">
      <alignment horizontal="center" vertical="center"/>
      <protection locked="0"/>
    </xf>
    <xf numFmtId="0" fontId="0" fillId="13" borderId="0" xfId="0" applyFill="1" applyAlignment="1" applyProtection="1">
      <alignment vertical="center"/>
      <protection locked="0"/>
    </xf>
    <xf numFmtId="0" fontId="27" fillId="13" borderId="0" xfId="0" applyFont="1" applyFill="1" applyAlignment="1" applyProtection="1">
      <alignment vertical="center"/>
      <protection locked="0"/>
    </xf>
    <xf numFmtId="0" fontId="0" fillId="13" borderId="7" xfId="0" applyFill="1" applyBorder="1" applyAlignment="1" applyProtection="1">
      <alignment vertical="center"/>
      <protection locked="0"/>
    </xf>
    <xf numFmtId="0" fontId="31" fillId="13" borderId="0" xfId="0" applyFont="1" applyFill="1" applyAlignment="1" applyProtection="1">
      <alignment horizontal="center" vertical="center"/>
      <protection locked="0"/>
    </xf>
    <xf numFmtId="0" fontId="27" fillId="13" borderId="0" xfId="0" applyFont="1" applyFill="1" applyAlignment="1" applyProtection="1">
      <alignment horizontal="right" vertical="center"/>
      <protection locked="0"/>
    </xf>
    <xf numFmtId="0" fontId="28" fillId="13" borderId="0" xfId="0" applyFont="1" applyFill="1" applyBorder="1" applyAlignment="1" applyProtection="1">
      <alignment vertical="center"/>
      <protection locked="0"/>
    </xf>
    <xf numFmtId="0" fontId="27" fillId="13" borderId="6" xfId="0" applyFont="1" applyFill="1" applyBorder="1" applyAlignment="1" applyProtection="1">
      <alignment horizontal="right" vertical="center" wrapText="1"/>
      <protection locked="0"/>
    </xf>
    <xf numFmtId="0" fontId="28" fillId="13" borderId="0" xfId="0" applyFont="1" applyFill="1" applyAlignment="1" applyProtection="1">
      <alignment vertical="center"/>
      <protection locked="0"/>
    </xf>
    <xf numFmtId="164" fontId="0" fillId="13" borderId="0" xfId="0" applyNumberFormat="1" applyFill="1" applyAlignment="1" applyProtection="1">
      <alignment vertical="center"/>
      <protection locked="0"/>
    </xf>
    <xf numFmtId="0" fontId="0" fillId="13" borderId="3" xfId="0" applyFill="1" applyBorder="1" applyAlignment="1" applyProtection="1">
      <alignment horizontal="right" vertical="center"/>
      <protection locked="0"/>
    </xf>
    <xf numFmtId="0" fontId="0" fillId="13" borderId="4" xfId="0" applyFill="1" applyBorder="1" applyAlignment="1" applyProtection="1">
      <alignment horizontal="right" vertical="center"/>
      <protection locked="0"/>
    </xf>
    <xf numFmtId="0" fontId="0" fillId="13" borderId="4" xfId="0" applyFill="1" applyBorder="1" applyAlignment="1" applyProtection="1">
      <alignment vertical="center"/>
      <protection locked="0"/>
    </xf>
    <xf numFmtId="0" fontId="0" fillId="13" borderId="56" xfId="0" applyFill="1" applyBorder="1" applyAlignment="1" applyProtection="1">
      <alignment vertical="center"/>
      <protection locked="0"/>
    </xf>
    <xf numFmtId="0" fontId="28" fillId="14" borderId="54" xfId="0" applyFont="1" applyFill="1" applyBorder="1" applyAlignment="1" applyProtection="1">
      <alignment horizontal="left" vertical="center"/>
      <protection locked="0"/>
    </xf>
    <xf numFmtId="0" fontId="28" fillId="14" borderId="54" xfId="0" applyFont="1" applyFill="1" applyBorder="1" applyAlignment="1" applyProtection="1">
      <alignment vertical="center"/>
      <protection locked="0"/>
    </xf>
    <xf numFmtId="0" fontId="28" fillId="14" borderId="0" xfId="0" applyFont="1" applyFill="1" applyBorder="1" applyAlignment="1" applyProtection="1">
      <alignment vertical="center"/>
      <protection locked="0"/>
    </xf>
    <xf numFmtId="0" fontId="19" fillId="14" borderId="54" xfId="0" applyFont="1" applyFill="1" applyBorder="1" applyAlignment="1" applyProtection="1">
      <alignment horizontal="left" vertical="center"/>
      <protection locked="0"/>
    </xf>
    <xf numFmtId="0" fontId="0" fillId="14" borderId="54" xfId="0" applyFill="1" applyBorder="1" applyAlignment="1" applyProtection="1">
      <alignment vertical="center"/>
      <protection locked="0"/>
    </xf>
    <xf numFmtId="0" fontId="32" fillId="14" borderId="54" xfId="0" applyFont="1" applyFill="1" applyBorder="1" applyAlignment="1" applyProtection="1">
      <alignment horizontal="left" vertical="center"/>
      <protection locked="0"/>
    </xf>
    <xf numFmtId="0" fontId="19" fillId="14" borderId="55" xfId="0" applyFont="1" applyFill="1" applyBorder="1" applyAlignment="1" applyProtection="1">
      <alignment vertical="center"/>
      <protection locked="0"/>
    </xf>
    <xf numFmtId="164" fontId="19" fillId="14" borderId="55" xfId="0" applyNumberFormat="1" applyFont="1" applyFill="1" applyBorder="1" applyAlignment="1" applyProtection="1">
      <alignment horizontal="left" vertical="center"/>
      <protection locked="0"/>
    </xf>
    <xf numFmtId="0" fontId="32" fillId="14" borderId="54" xfId="0" applyFont="1" applyFill="1" applyBorder="1" applyAlignment="1" applyProtection="1">
      <alignment vertical="center"/>
      <protection locked="0"/>
    </xf>
    <xf numFmtId="0" fontId="19" fillId="14" borderId="54" xfId="0" applyFont="1" applyFill="1" applyBorder="1" applyAlignment="1" applyProtection="1">
      <alignment vertical="center"/>
      <protection locked="0"/>
    </xf>
    <xf numFmtId="0" fontId="0" fillId="14" borderId="55" xfId="0" applyFill="1" applyBorder="1" applyAlignment="1" applyProtection="1">
      <alignment vertical="center"/>
      <protection locked="0"/>
    </xf>
    <xf numFmtId="0" fontId="0" fillId="14" borderId="55" xfId="0" applyFill="1" applyBorder="1" applyAlignment="1" applyProtection="1">
      <alignment horizontal="right" vertical="center"/>
      <protection locked="0"/>
    </xf>
    <xf numFmtId="0" fontId="33" fillId="14" borderId="45" xfId="0" applyFont="1" applyFill="1" applyBorder="1" applyAlignment="1">
      <alignment horizontal="center" vertical="center" wrapText="1"/>
    </xf>
    <xf numFmtId="0" fontId="13" fillId="14" borderId="45" xfId="0" applyFont="1" applyFill="1" applyBorder="1" applyAlignment="1">
      <alignment horizontal="center" vertical="center" textRotation="90"/>
    </xf>
    <xf numFmtId="0" fontId="33" fillId="14" borderId="43" xfId="0" applyFont="1" applyFill="1" applyBorder="1" applyAlignment="1">
      <alignment horizontal="center" vertical="center" wrapText="1"/>
    </xf>
    <xf numFmtId="0" fontId="13" fillId="14" borderId="60" xfId="0" applyFont="1" applyFill="1" applyBorder="1" applyAlignment="1">
      <alignment horizontal="center" vertical="center" textRotation="90"/>
    </xf>
    <xf numFmtId="0" fontId="27" fillId="14" borderId="24" xfId="0" applyFont="1" applyFill="1" applyBorder="1" applyAlignment="1" applyProtection="1">
      <alignment horizontal="center" vertical="center" wrapText="1"/>
      <protection locked="0"/>
    </xf>
    <xf numFmtId="0" fontId="27" fillId="14" borderId="24" xfId="0" applyFont="1" applyFill="1" applyBorder="1" applyAlignment="1" applyProtection="1">
      <alignment horizontal="center" vertical="top" wrapText="1"/>
      <protection locked="0"/>
    </xf>
    <xf numFmtId="0" fontId="27" fillId="14" borderId="27" xfId="0" applyFont="1" applyFill="1" applyBorder="1" applyAlignment="1" applyProtection="1">
      <alignment horizontal="center" vertical="top" wrapText="1"/>
      <protection locked="0"/>
    </xf>
    <xf numFmtId="0" fontId="27" fillId="14" borderId="45" xfId="0" applyFont="1" applyFill="1" applyBorder="1" applyAlignment="1" applyProtection="1">
      <alignment horizontal="center" vertical="top" wrapText="1"/>
      <protection locked="0"/>
    </xf>
    <xf numFmtId="0" fontId="0" fillId="14" borderId="24" xfId="0" applyFill="1" applyBorder="1" applyAlignment="1" applyProtection="1">
      <alignment horizontal="center" vertical="center" wrapText="1"/>
      <protection locked="0"/>
    </xf>
    <xf numFmtId="0" fontId="0" fillId="14" borderId="24" xfId="0" applyFill="1" applyBorder="1" applyAlignment="1" applyProtection="1">
      <alignment horizontal="center" vertical="top" wrapText="1"/>
      <protection locked="0"/>
    </xf>
    <xf numFmtId="0" fontId="0" fillId="14" borderId="27" xfId="0" applyFill="1" applyBorder="1" applyAlignment="1" applyProtection="1">
      <alignment horizontal="center" vertical="top" wrapText="1"/>
      <protection locked="0"/>
    </xf>
    <xf numFmtId="0" fontId="0" fillId="14" borderId="45" xfId="0" applyFill="1" applyBorder="1" applyAlignment="1" applyProtection="1">
      <alignment horizontal="center" vertical="top" wrapText="1"/>
      <protection locked="0"/>
    </xf>
    <xf numFmtId="0" fontId="34" fillId="0" borderId="0" xfId="8"/>
    <xf numFmtId="0" fontId="6" fillId="0" borderId="0" xfId="8" applyFont="1" applyAlignment="1">
      <alignment horizontal="center"/>
    </xf>
    <xf numFmtId="0" fontId="34" fillId="0" borderId="54" xfId="8" applyBorder="1"/>
    <xf numFmtId="0" fontId="16" fillId="13" borderId="26" xfId="8" applyFont="1" applyFill="1" applyBorder="1"/>
    <xf numFmtId="0" fontId="35" fillId="13" borderId="66" xfId="8" applyFont="1" applyFill="1" applyBorder="1"/>
    <xf numFmtId="0" fontId="36" fillId="13" borderId="26" xfId="8" applyFont="1" applyFill="1" applyBorder="1"/>
    <xf numFmtId="0" fontId="36" fillId="13" borderId="66" xfId="8" applyFont="1" applyFill="1" applyBorder="1"/>
    <xf numFmtId="0" fontId="35" fillId="13" borderId="66" xfId="8" applyFont="1" applyFill="1" applyBorder="1" applyProtection="1">
      <protection locked="0"/>
    </xf>
    <xf numFmtId="0" fontId="37" fillId="13" borderId="66" xfId="8" applyFont="1" applyFill="1" applyBorder="1"/>
    <xf numFmtId="0" fontId="11" fillId="0" borderId="67" xfId="8" applyFont="1" applyBorder="1"/>
    <xf numFmtId="0" fontId="35" fillId="13" borderId="68" xfId="8" applyFont="1" applyFill="1" applyBorder="1"/>
    <xf numFmtId="0" fontId="35" fillId="13" borderId="54" xfId="8" applyFont="1" applyFill="1" applyBorder="1"/>
    <xf numFmtId="0" fontId="35" fillId="13" borderId="54" xfId="8" applyFont="1" applyFill="1" applyBorder="1" applyProtection="1">
      <protection locked="0"/>
    </xf>
    <xf numFmtId="0" fontId="37" fillId="13" borderId="54" xfId="8" applyFont="1" applyFill="1" applyBorder="1"/>
    <xf numFmtId="0" fontId="34" fillId="0" borderId="67" xfId="8" applyBorder="1"/>
    <xf numFmtId="0" fontId="11" fillId="0" borderId="0" xfId="8" applyFont="1"/>
    <xf numFmtId="0" fontId="34" fillId="0" borderId="0" xfId="8" applyProtection="1">
      <protection locked="0"/>
    </xf>
    <xf numFmtId="0" fontId="35" fillId="13" borderId="64" xfId="8" applyFont="1" applyFill="1" applyBorder="1"/>
    <xf numFmtId="0" fontId="36" fillId="13" borderId="68" xfId="8" applyFont="1" applyFill="1" applyBorder="1"/>
    <xf numFmtId="0" fontId="35" fillId="13" borderId="69" xfId="8" applyFont="1" applyFill="1" applyBorder="1"/>
    <xf numFmtId="0" fontId="37" fillId="13" borderId="54" xfId="8" applyFont="1" applyFill="1" applyBorder="1" applyAlignment="1">
      <alignment horizontal="center"/>
    </xf>
    <xf numFmtId="0" fontId="34" fillId="0" borderId="0" xfId="8" applyAlignment="1">
      <alignment horizontal="right"/>
    </xf>
    <xf numFmtId="0" fontId="3" fillId="10" borderId="66" xfId="8" applyFont="1" applyFill="1" applyBorder="1"/>
    <xf numFmtId="0" fontId="36" fillId="10" borderId="66" xfId="8" applyFont="1" applyFill="1" applyBorder="1"/>
    <xf numFmtId="0" fontId="37" fillId="10" borderId="66" xfId="8" applyFont="1" applyFill="1" applyBorder="1"/>
    <xf numFmtId="0" fontId="39" fillId="10" borderId="66" xfId="8" applyFont="1" applyFill="1" applyBorder="1"/>
    <xf numFmtId="0" fontId="3" fillId="10" borderId="54" xfId="8" applyFont="1" applyFill="1" applyBorder="1"/>
    <xf numFmtId="0" fontId="37" fillId="10" borderId="54" xfId="8" applyFont="1" applyFill="1" applyBorder="1"/>
    <xf numFmtId="0" fontId="39" fillId="10" borderId="54" xfId="8" applyFont="1" applyFill="1" applyBorder="1"/>
    <xf numFmtId="0" fontId="3" fillId="0" borderId="54" xfId="8" applyFont="1" applyBorder="1"/>
    <xf numFmtId="0" fontId="40" fillId="0" borderId="54" xfId="8" applyFont="1" applyBorder="1" applyAlignment="1">
      <alignment horizontal="center"/>
    </xf>
    <xf numFmtId="0" fontId="3" fillId="10" borderId="67" xfId="8" applyFont="1" applyFill="1" applyBorder="1"/>
    <xf numFmtId="0" fontId="3" fillId="10" borderId="0" xfId="8" applyFont="1" applyFill="1"/>
    <xf numFmtId="0" fontId="38" fillId="10" borderId="52" xfId="8" applyFont="1" applyFill="1" applyBorder="1"/>
    <xf numFmtId="0" fontId="3" fillId="10" borderId="5" xfId="8" applyFont="1" applyFill="1" applyBorder="1"/>
    <xf numFmtId="0" fontId="3" fillId="10" borderId="53" xfId="8" applyFont="1" applyFill="1" applyBorder="1"/>
    <xf numFmtId="0" fontId="3" fillId="10" borderId="68" xfId="8" applyFont="1" applyFill="1" applyBorder="1"/>
    <xf numFmtId="0" fontId="38" fillId="10" borderId="67" xfId="8" applyFont="1" applyFill="1" applyBorder="1"/>
    <xf numFmtId="0" fontId="38" fillId="10" borderId="6" xfId="8" applyFont="1" applyFill="1" applyBorder="1"/>
    <xf numFmtId="0" fontId="3" fillId="10" borderId="7" xfId="8" applyFont="1" applyFill="1" applyBorder="1"/>
    <xf numFmtId="0" fontId="3" fillId="0" borderId="68" xfId="8" applyFont="1" applyBorder="1" applyProtection="1">
      <protection locked="0"/>
    </xf>
    <xf numFmtId="0" fontId="3" fillId="0" borderId="54" xfId="8" applyFont="1" applyBorder="1" applyProtection="1">
      <protection locked="0"/>
    </xf>
    <xf numFmtId="0" fontId="3" fillId="0" borderId="55" xfId="8" applyFont="1" applyBorder="1" applyProtection="1">
      <protection locked="0"/>
    </xf>
    <xf numFmtId="0" fontId="3" fillId="0" borderId="61" xfId="8" applyFont="1" applyBorder="1" applyProtection="1">
      <protection locked="0"/>
    </xf>
    <xf numFmtId="0" fontId="3" fillId="0" borderId="42" xfId="8" applyFont="1" applyBorder="1" applyProtection="1">
      <protection locked="0"/>
    </xf>
    <xf numFmtId="0" fontId="38" fillId="10" borderId="68" xfId="8" applyFont="1" applyFill="1" applyBorder="1"/>
    <xf numFmtId="0" fontId="38" fillId="10" borderId="70" xfId="8" applyFont="1" applyFill="1" applyBorder="1"/>
    <xf numFmtId="0" fontId="3" fillId="10" borderId="71" xfId="8" applyFont="1" applyFill="1" applyBorder="1"/>
    <xf numFmtId="0" fontId="3" fillId="0" borderId="69" xfId="8" applyFont="1" applyBorder="1" applyProtection="1">
      <protection locked="0"/>
    </xf>
    <xf numFmtId="0" fontId="3" fillId="0" borderId="0" xfId="8" applyFont="1"/>
    <xf numFmtId="0" fontId="40" fillId="0" borderId="0" xfId="8" applyFont="1" applyAlignment="1">
      <alignment horizontal="center"/>
    </xf>
    <xf numFmtId="0" fontId="11" fillId="0" borderId="0" xfId="8" applyFont="1" applyAlignment="1">
      <alignment horizontal="center"/>
    </xf>
    <xf numFmtId="0" fontId="38" fillId="13" borderId="49" xfId="8" applyFont="1" applyFill="1" applyBorder="1" applyAlignment="1">
      <alignment horizontal="center" vertical="center" wrapText="1"/>
    </xf>
    <xf numFmtId="0" fontId="3" fillId="10" borderId="28" xfId="8" applyFont="1" applyFill="1" applyBorder="1" applyAlignment="1">
      <alignment horizontal="center"/>
    </xf>
    <xf numFmtId="0" fontId="42" fillId="0" borderId="77" xfId="8" applyFont="1" applyBorder="1" applyAlignment="1">
      <alignment horizontal="center" vertical="center" wrapText="1"/>
    </xf>
    <xf numFmtId="0" fontId="42" fillId="0" borderId="77" xfId="8" applyFont="1" applyBorder="1" applyAlignment="1">
      <alignment horizontal="center" vertical="center"/>
    </xf>
    <xf numFmtId="0" fontId="42" fillId="0" borderId="67" xfId="8" applyFont="1" applyBorder="1" applyAlignment="1">
      <alignment horizontal="center" vertical="center"/>
    </xf>
    <xf numFmtId="0" fontId="38" fillId="10" borderId="58" xfId="8" applyFont="1" applyFill="1" applyBorder="1" applyAlignment="1">
      <alignment horizontal="center"/>
    </xf>
    <xf numFmtId="0" fontId="42" fillId="0" borderId="17" xfId="8" applyFont="1" applyBorder="1" applyAlignment="1">
      <alignment horizontal="center" vertical="center"/>
    </xf>
    <xf numFmtId="0" fontId="42" fillId="0" borderId="19" xfId="8" applyFont="1" applyBorder="1" applyAlignment="1">
      <alignment horizontal="center" vertical="center"/>
    </xf>
    <xf numFmtId="0" fontId="38" fillId="10" borderId="61" xfId="8" applyFont="1" applyFill="1" applyBorder="1" applyAlignment="1">
      <alignment horizontal="center"/>
    </xf>
    <xf numFmtId="0" fontId="42" fillId="0" borderId="24" xfId="8" applyFont="1" applyBorder="1" applyAlignment="1">
      <alignment horizontal="center" vertical="center"/>
    </xf>
    <xf numFmtId="0" fontId="42" fillId="0" borderId="42" xfId="8" applyFont="1" applyBorder="1" applyAlignment="1">
      <alignment horizontal="center" vertical="center"/>
    </xf>
    <xf numFmtId="0" fontId="38" fillId="10" borderId="65" xfId="8" applyFont="1" applyFill="1" applyBorder="1" applyAlignment="1">
      <alignment horizontal="center"/>
    </xf>
    <xf numFmtId="0" fontId="42" fillId="0" borderId="45" xfId="8" applyFont="1" applyBorder="1" applyAlignment="1">
      <alignment horizontal="center" vertical="center"/>
    </xf>
    <xf numFmtId="0" fontId="42" fillId="0" borderId="44" xfId="8" applyFont="1" applyBorder="1" applyAlignment="1">
      <alignment horizontal="center" vertical="center"/>
    </xf>
    <xf numFmtId="0" fontId="38" fillId="13" borderId="48" xfId="8" applyFont="1" applyFill="1" applyBorder="1" applyAlignment="1">
      <alignment horizontal="center" vertical="center" wrapText="1"/>
    </xf>
    <xf numFmtId="0" fontId="3" fillId="10" borderId="16" xfId="8" applyFont="1" applyFill="1" applyBorder="1"/>
    <xf numFmtId="0" fontId="42" fillId="0" borderId="17" xfId="8" applyFont="1" applyBorder="1" applyAlignment="1">
      <alignment horizontal="center" vertical="center" wrapText="1"/>
    </xf>
    <xf numFmtId="0" fontId="38" fillId="13" borderId="12" xfId="8" applyFont="1" applyFill="1" applyBorder="1" applyAlignment="1">
      <alignment horizontal="center" vertical="center" wrapText="1"/>
    </xf>
    <xf numFmtId="0" fontId="3" fillId="10" borderId="23" xfId="8" applyFont="1" applyFill="1" applyBorder="1"/>
    <xf numFmtId="14" fontId="42" fillId="0" borderId="24" xfId="8" applyNumberFormat="1" applyFont="1" applyBorder="1" applyAlignment="1">
      <alignment horizontal="center" vertical="center"/>
    </xf>
    <xf numFmtId="0" fontId="42" fillId="0" borderId="24" xfId="8" applyFont="1" applyBorder="1" applyAlignment="1">
      <alignment horizontal="center" vertical="center" wrapText="1"/>
    </xf>
    <xf numFmtId="0" fontId="38" fillId="13" borderId="11" xfId="8" applyFont="1" applyFill="1" applyBorder="1" applyAlignment="1">
      <alignment horizontal="center" vertical="center" wrapText="1"/>
    </xf>
    <xf numFmtId="0" fontId="3" fillId="10" borderId="43" xfId="8" applyFont="1" applyFill="1" applyBorder="1"/>
    <xf numFmtId="0" fontId="42" fillId="0" borderId="45" xfId="8" applyFont="1" applyBorder="1" applyAlignment="1">
      <alignment horizontal="center" vertical="center" wrapText="1"/>
    </xf>
    <xf numFmtId="0" fontId="43" fillId="10" borderId="16" xfId="8" applyFont="1" applyFill="1" applyBorder="1" applyAlignment="1">
      <alignment horizontal="center"/>
    </xf>
    <xf numFmtId="0" fontId="43" fillId="10" borderId="23" xfId="8" applyFont="1" applyFill="1" applyBorder="1" applyAlignment="1">
      <alignment horizontal="center"/>
    </xf>
    <xf numFmtId="0" fontId="43" fillId="10" borderId="43" xfId="8" applyFont="1" applyFill="1" applyBorder="1" applyAlignment="1">
      <alignment horizontal="center"/>
    </xf>
    <xf numFmtId="0" fontId="38" fillId="13" borderId="10" xfId="8" applyFont="1" applyFill="1" applyBorder="1" applyAlignment="1">
      <alignment horizontal="center" vertical="center" wrapText="1"/>
    </xf>
    <xf numFmtId="0" fontId="3" fillId="0" borderId="0" xfId="8" applyFont="1" applyAlignment="1">
      <alignment wrapText="1"/>
    </xf>
    <xf numFmtId="0" fontId="5" fillId="0" borderId="17" xfId="0" applyFont="1" applyBorder="1" applyAlignment="1">
      <alignment vertical="center"/>
    </xf>
    <xf numFmtId="49" fontId="0" fillId="0" borderId="32" xfId="0" applyNumberFormat="1" applyBorder="1" applyAlignment="1">
      <alignment vertical="center"/>
    </xf>
    <xf numFmtId="0" fontId="5" fillId="0" borderId="24" xfId="0" applyFont="1" applyBorder="1" applyAlignment="1">
      <alignment vertical="center"/>
    </xf>
    <xf numFmtId="0" fontId="0" fillId="0" borderId="33" xfId="0" applyBorder="1" applyAlignment="1">
      <alignment vertical="center"/>
    </xf>
    <xf numFmtId="0" fontId="0" fillId="0" borderId="45" xfId="0" applyBorder="1" applyAlignment="1">
      <alignment vertical="center"/>
    </xf>
    <xf numFmtId="0" fontId="0" fillId="0" borderId="60" xfId="0" applyBorder="1" applyAlignment="1">
      <alignment vertical="center"/>
    </xf>
    <xf numFmtId="0" fontId="0" fillId="0" borderId="0" xfId="0" applyAlignment="1">
      <alignment horizontal="center"/>
    </xf>
    <xf numFmtId="0" fontId="0" fillId="0" borderId="45" xfId="0" applyBorder="1" applyAlignment="1">
      <alignment horizontal="center" vertical="center"/>
    </xf>
    <xf numFmtId="0" fontId="0" fillId="0" borderId="24" xfId="0" applyBorder="1" applyAlignment="1">
      <alignment horizontal="left" vertical="center" wrapText="1" indent="1"/>
    </xf>
    <xf numFmtId="0" fontId="0" fillId="0" borderId="23" xfId="0" applyBorder="1" applyAlignment="1">
      <alignment horizontal="left" vertical="center" wrapText="1" indent="1"/>
    </xf>
    <xf numFmtId="0" fontId="0" fillId="0" borderId="33" xfId="0" applyBorder="1" applyAlignment="1">
      <alignment horizontal="left" vertical="center" wrapText="1" indent="1"/>
    </xf>
    <xf numFmtId="0" fontId="0" fillId="0" borderId="43" xfId="0" applyBorder="1" applyAlignment="1">
      <alignment horizontal="left" vertical="center" wrapText="1" indent="1"/>
    </xf>
    <xf numFmtId="0" fontId="0" fillId="0" borderId="45" xfId="0" applyBorder="1" applyAlignment="1">
      <alignment horizontal="left" vertical="center" wrapText="1" indent="1"/>
    </xf>
    <xf numFmtId="0" fontId="0" fillId="0" borderId="45" xfId="0" applyBorder="1" applyAlignment="1">
      <alignment horizontal="center" vertical="center" wrapText="1"/>
    </xf>
    <xf numFmtId="0" fontId="0" fillId="0" borderId="60" xfId="0" applyBorder="1" applyAlignment="1">
      <alignment horizontal="left" vertical="center" wrapText="1" indent="1"/>
    </xf>
    <xf numFmtId="0" fontId="13" fillId="10" borderId="27" xfId="0" applyFont="1" applyFill="1" applyBorder="1" applyAlignment="1">
      <alignment horizontal="center" vertical="center" textRotation="90"/>
    </xf>
    <xf numFmtId="0" fontId="13" fillId="10" borderId="18" xfId="0" applyFont="1" applyFill="1" applyBorder="1" applyAlignment="1">
      <alignment horizontal="center" vertical="center" textRotation="90"/>
    </xf>
    <xf numFmtId="0" fontId="13" fillId="10" borderId="27" xfId="0" applyFont="1" applyFill="1" applyBorder="1" applyAlignment="1">
      <alignment horizontal="center" vertical="center" wrapText="1"/>
    </xf>
    <xf numFmtId="0" fontId="0" fillId="0" borderId="24" xfId="0" applyBorder="1" applyAlignment="1">
      <alignment horizontal="center" vertical="center"/>
    </xf>
    <xf numFmtId="0" fontId="5" fillId="0" borderId="0" xfId="5"/>
    <xf numFmtId="0" fontId="48" fillId="0" borderId="0" xfId="9" applyFont="1" applyAlignment="1">
      <alignment vertical="top"/>
    </xf>
    <xf numFmtId="0" fontId="48" fillId="0" borderId="0" xfId="9" applyFont="1"/>
    <xf numFmtId="0" fontId="48" fillId="0" borderId="0" xfId="9" applyFont="1" applyAlignment="1">
      <alignment horizontal="center"/>
    </xf>
    <xf numFmtId="0" fontId="48" fillId="0" borderId="93" xfId="9" applyFont="1" applyBorder="1" applyAlignment="1">
      <alignment horizontal="center"/>
    </xf>
    <xf numFmtId="0" fontId="51" fillId="0" borderId="0" xfId="9" applyFont="1" applyAlignment="1">
      <alignment vertical="top"/>
    </xf>
    <xf numFmtId="0" fontId="52" fillId="0" borderId="46" xfId="9" applyFont="1" applyBorder="1" applyAlignment="1">
      <alignment vertical="top"/>
    </xf>
    <xf numFmtId="0" fontId="52" fillId="0" borderId="0" xfId="9" applyFont="1" applyAlignment="1">
      <alignment vertical="top"/>
    </xf>
    <xf numFmtId="0" fontId="53" fillId="0" borderId="0" xfId="9" applyFont="1"/>
    <xf numFmtId="0" fontId="51" fillId="0" borderId="0" xfId="9" applyFont="1"/>
    <xf numFmtId="0" fontId="48" fillId="0" borderId="96" xfId="9" applyFont="1" applyBorder="1"/>
    <xf numFmtId="0" fontId="48" fillId="0" borderId="97" xfId="9" applyFont="1" applyBorder="1"/>
    <xf numFmtId="0" fontId="48" fillId="0" borderId="97" xfId="9" applyFont="1" applyBorder="1" applyAlignment="1">
      <alignment horizontal="center"/>
    </xf>
    <xf numFmtId="0" fontId="48" fillId="0" borderId="98" xfId="9" applyFont="1" applyBorder="1" applyAlignment="1">
      <alignment horizontal="center"/>
    </xf>
    <xf numFmtId="0" fontId="52" fillId="0" borderId="46" xfId="9" applyFont="1" applyBorder="1" applyAlignment="1">
      <alignment horizontal="left" vertical="top"/>
    </xf>
    <xf numFmtId="0" fontId="54" fillId="0" borderId="0" xfId="9" applyFont="1"/>
    <xf numFmtId="0" fontId="51" fillId="0" borderId="96" xfId="9" applyFont="1" applyBorder="1" applyAlignment="1">
      <alignment horizontal="center"/>
    </xf>
    <xf numFmtId="0" fontId="51" fillId="0" borderId="97" xfId="9" applyFont="1" applyBorder="1" applyAlignment="1">
      <alignment horizontal="center"/>
    </xf>
    <xf numFmtId="0" fontId="52" fillId="0" borderId="46" xfId="9" applyFont="1" applyBorder="1"/>
    <xf numFmtId="0" fontId="52" fillId="0" borderId="0" xfId="9" applyFont="1"/>
    <xf numFmtId="0" fontId="48" fillId="0" borderId="102" xfId="9" applyFont="1" applyBorder="1"/>
    <xf numFmtId="0" fontId="48" fillId="0" borderId="46" xfId="9" applyFont="1" applyBorder="1"/>
    <xf numFmtId="0" fontId="48" fillId="0" borderId="96" xfId="9" applyFont="1" applyBorder="1" applyAlignment="1">
      <alignment horizontal="center"/>
    </xf>
    <xf numFmtId="0" fontId="48" fillId="0" borderId="97" xfId="9" applyFont="1" applyBorder="1" applyAlignment="1">
      <alignment horizontal="left"/>
    </xf>
    <xf numFmtId="0" fontId="52" fillId="0" borderId="46" xfId="9" applyFont="1" applyBorder="1" applyAlignment="1">
      <alignment horizontal="left"/>
    </xf>
    <xf numFmtId="0" fontId="52" fillId="0" borderId="0" xfId="9" applyFont="1" applyAlignment="1">
      <alignment horizontal="left"/>
    </xf>
    <xf numFmtId="0" fontId="53" fillId="0" borderId="0" xfId="9" applyFont="1" applyAlignment="1">
      <alignment horizontal="right"/>
    </xf>
    <xf numFmtId="0" fontId="53" fillId="0" borderId="104" xfId="9" applyFont="1" applyBorder="1"/>
    <xf numFmtId="0" fontId="48" fillId="0" borderId="0" xfId="9" applyFont="1" applyAlignment="1">
      <alignment horizontal="right"/>
    </xf>
    <xf numFmtId="0" fontId="48" fillId="0" borderId="104" xfId="9" applyFont="1" applyBorder="1"/>
    <xf numFmtId="0" fontId="48" fillId="0" borderId="104" xfId="9" applyFont="1" applyBorder="1" applyAlignment="1">
      <alignment horizontal="center"/>
    </xf>
    <xf numFmtId="0" fontId="48" fillId="0" borderId="102" xfId="9" applyFont="1" applyBorder="1" applyAlignment="1">
      <alignment horizontal="center"/>
    </xf>
    <xf numFmtId="0" fontId="52" fillId="0" borderId="0" xfId="9" applyFont="1" applyAlignment="1">
      <alignment horizontal="right"/>
    </xf>
    <xf numFmtId="0" fontId="48" fillId="0" borderId="106" xfId="9" applyFont="1" applyBorder="1"/>
    <xf numFmtId="0" fontId="48" fillId="0" borderId="107" xfId="9" applyFont="1" applyBorder="1"/>
    <xf numFmtId="0" fontId="48" fillId="0" borderId="107" xfId="9" applyFont="1" applyBorder="1" applyAlignment="1">
      <alignment horizontal="right"/>
    </xf>
    <xf numFmtId="0" fontId="48" fillId="0" borderId="108" xfId="9" applyFont="1" applyBorder="1"/>
    <xf numFmtId="0" fontId="51" fillId="0" borderId="106" xfId="9" applyFont="1" applyBorder="1" applyAlignment="1">
      <alignment horizontal="left"/>
    </xf>
    <xf numFmtId="0" fontId="54" fillId="0" borderId="107" xfId="9" applyFont="1" applyBorder="1"/>
    <xf numFmtId="0" fontId="51" fillId="0" borderId="107" xfId="9" applyFont="1" applyBorder="1"/>
    <xf numFmtId="0" fontId="51" fillId="0" borderId="109" xfId="9" applyFont="1" applyBorder="1" applyAlignment="1">
      <alignment horizontal="right"/>
    </xf>
    <xf numFmtId="0" fontId="55" fillId="0" borderId="0" xfId="9" applyFont="1" applyAlignment="1">
      <alignment vertical="top"/>
    </xf>
    <xf numFmtId="0" fontId="55" fillId="0" borderId="0" xfId="9" applyFont="1"/>
    <xf numFmtId="0" fontId="53" fillId="0" borderId="0" xfId="9" applyFont="1" applyAlignment="1">
      <alignment vertical="top"/>
    </xf>
    <xf numFmtId="0" fontId="59" fillId="0" borderId="0" xfId="9" applyFont="1"/>
    <xf numFmtId="0" fontId="60" fillId="0" borderId="120" xfId="9" applyFont="1" applyBorder="1" applyAlignment="1">
      <alignment horizontal="center"/>
    </xf>
    <xf numFmtId="0" fontId="60" fillId="0" borderId="122" xfId="9" applyFont="1" applyBorder="1" applyAlignment="1">
      <alignment horizontal="center"/>
    </xf>
    <xf numFmtId="0" fontId="53" fillId="0" borderId="124" xfId="9" applyFont="1" applyBorder="1" applyAlignment="1">
      <alignment horizontal="left" vertical="center"/>
    </xf>
    <xf numFmtId="0" fontId="53" fillId="0" borderId="125" xfId="9" applyFont="1" applyBorder="1" applyAlignment="1">
      <alignment horizontal="left" vertical="center"/>
    </xf>
    <xf numFmtId="0" fontId="53" fillId="0" borderId="124" xfId="9" applyFont="1" applyBorder="1" applyAlignment="1">
      <alignment horizontal="left" vertical="center" wrapText="1"/>
    </xf>
    <xf numFmtId="0" fontId="53" fillId="0" borderId="129" xfId="9" applyFont="1" applyBorder="1" applyAlignment="1">
      <alignment horizontal="left" vertical="center" wrapText="1"/>
    </xf>
    <xf numFmtId="49" fontId="53" fillId="0" borderId="129" xfId="9" applyNumberFormat="1" applyFont="1" applyBorder="1" applyAlignment="1">
      <alignment horizontal="left" vertical="center"/>
    </xf>
    <xf numFmtId="0" fontId="52" fillId="0" borderId="124" xfId="9" applyFont="1" applyBorder="1" applyAlignment="1">
      <alignment horizontal="left" vertical="center"/>
    </xf>
    <xf numFmtId="0" fontId="53" fillId="0" borderId="122" xfId="9" applyFont="1" applyBorder="1" applyAlignment="1">
      <alignment horizontal="left" vertical="center"/>
    </xf>
    <xf numFmtId="0" fontId="53" fillId="0" borderId="133" xfId="9" applyFont="1" applyBorder="1" applyAlignment="1">
      <alignment horizontal="left" vertical="center"/>
    </xf>
    <xf numFmtId="0" fontId="53" fillId="0" borderId="134" xfId="9" applyFont="1" applyBorder="1" applyAlignment="1">
      <alignment horizontal="left" vertical="center" wrapText="1"/>
    </xf>
    <xf numFmtId="0" fontId="60" fillId="0" borderId="0" xfId="9" applyFont="1" applyAlignment="1">
      <alignment vertical="top"/>
    </xf>
    <xf numFmtId="0" fontId="62" fillId="0" borderId="0" xfId="9" applyFont="1"/>
    <xf numFmtId="0" fontId="62" fillId="0" borderId="135" xfId="9" applyFont="1" applyBorder="1" applyAlignment="1">
      <alignment horizontal="center"/>
    </xf>
    <xf numFmtId="0" fontId="51" fillId="16" borderId="120" xfId="9" applyFont="1" applyFill="1" applyBorder="1" applyAlignment="1">
      <alignment horizontal="center"/>
    </xf>
    <xf numFmtId="0" fontId="63" fillId="0" borderId="136" xfId="9" applyFont="1" applyBorder="1" applyAlignment="1">
      <alignment horizontal="center"/>
    </xf>
    <xf numFmtId="0" fontId="63" fillId="0" borderId="120" xfId="9" applyFont="1" applyBorder="1" applyAlignment="1">
      <alignment horizontal="center"/>
    </xf>
    <xf numFmtId="0" fontId="62" fillId="0" borderId="0" xfId="9" applyFont="1" applyAlignment="1">
      <alignment horizontal="center"/>
    </xf>
    <xf numFmtId="0" fontId="51" fillId="17" borderId="137" xfId="9" applyFont="1" applyFill="1" applyBorder="1" applyAlignment="1">
      <alignment horizontal="center"/>
    </xf>
    <xf numFmtId="0" fontId="63" fillId="0" borderId="35" xfId="9" applyFont="1" applyBorder="1" applyAlignment="1">
      <alignment horizontal="center"/>
    </xf>
    <xf numFmtId="0" fontId="63" fillId="0" borderId="137" xfId="9" applyFont="1" applyBorder="1" applyAlignment="1">
      <alignment horizontal="center"/>
    </xf>
    <xf numFmtId="0" fontId="65" fillId="18" borderId="32" xfId="11" applyFont="1" applyFill="1" applyBorder="1" applyAlignment="1">
      <alignment horizontal="center"/>
    </xf>
    <xf numFmtId="0" fontId="65" fillId="0" borderId="32" xfId="11" applyFont="1" applyBorder="1" applyAlignment="1">
      <alignment horizontal="center"/>
    </xf>
    <xf numFmtId="0" fontId="65" fillId="18" borderId="38" xfId="11" applyFont="1" applyFill="1" applyBorder="1" applyAlignment="1">
      <alignment horizontal="center" vertical="center"/>
    </xf>
    <xf numFmtId="0" fontId="65" fillId="0" borderId="38" xfId="11" applyFont="1" applyBorder="1" applyAlignment="1">
      <alignment horizontal="center" vertical="center"/>
    </xf>
    <xf numFmtId="0" fontId="5" fillId="0" borderId="39" xfId="11" applyBorder="1" applyAlignment="1">
      <alignment horizontal="center" vertical="center"/>
    </xf>
    <xf numFmtId="0" fontId="5" fillId="18" borderId="39" xfId="11" applyFill="1" applyBorder="1" applyAlignment="1">
      <alignment horizontal="center" vertical="center"/>
    </xf>
    <xf numFmtId="0" fontId="48" fillId="0" borderId="32" xfId="9" applyFont="1" applyBorder="1" applyAlignment="1">
      <alignment horizontal="center" vertical="center"/>
    </xf>
    <xf numFmtId="0" fontId="5" fillId="18" borderId="32" xfId="11" applyFill="1" applyBorder="1" applyAlignment="1">
      <alignment horizontal="center" vertical="center"/>
    </xf>
    <xf numFmtId="0" fontId="5" fillId="0" borderId="32" xfId="11" applyBorder="1" applyAlignment="1">
      <alignment horizontal="center" vertical="center"/>
    </xf>
    <xf numFmtId="0" fontId="53" fillId="0" borderId="0" xfId="9" applyFont="1" applyAlignment="1">
      <alignment horizontal="right" vertical="top"/>
    </xf>
    <xf numFmtId="168" fontId="67" fillId="0" borderId="39" xfId="9" applyNumberFormat="1" applyFont="1" applyBorder="1" applyAlignment="1">
      <alignment horizontal="center" vertical="center"/>
    </xf>
    <xf numFmtId="14" fontId="48" fillId="0" borderId="32" xfId="9" applyNumberFormat="1" applyFont="1" applyBorder="1" applyAlignment="1">
      <alignment horizontal="center" vertical="center"/>
    </xf>
    <xf numFmtId="0" fontId="48" fillId="0" borderId="39" xfId="9" applyFont="1" applyBorder="1" applyAlignment="1">
      <alignment horizontal="center" vertical="center"/>
    </xf>
    <xf numFmtId="0" fontId="67" fillId="0" borderId="32" xfId="9" applyFont="1" applyBorder="1" applyAlignment="1">
      <alignment horizontal="center" vertical="center"/>
    </xf>
    <xf numFmtId="49" fontId="53" fillId="0" borderId="32" xfId="9" applyNumberFormat="1" applyFont="1" applyBorder="1" applyAlignment="1">
      <alignment horizontal="center" vertical="center"/>
    </xf>
    <xf numFmtId="14" fontId="53" fillId="0" borderId="32" xfId="9" applyNumberFormat="1" applyFont="1" applyBorder="1" applyAlignment="1">
      <alignment horizontal="center" vertical="center"/>
    </xf>
    <xf numFmtId="49" fontId="53" fillId="0" borderId="39" xfId="9" applyNumberFormat="1" applyFont="1" applyBorder="1" applyAlignment="1">
      <alignment horizontal="center" vertical="center"/>
    </xf>
    <xf numFmtId="0" fontId="53" fillId="0" borderId="39" xfId="9" applyFont="1" applyBorder="1" applyAlignment="1">
      <alignment horizontal="center" vertical="center"/>
    </xf>
    <xf numFmtId="0" fontId="53" fillId="0" borderId="32" xfId="9" applyFont="1" applyBorder="1" applyAlignment="1">
      <alignment horizontal="center" vertical="center"/>
    </xf>
    <xf numFmtId="0" fontId="53" fillId="0" borderId="32" xfId="9" applyFont="1" applyBorder="1" applyAlignment="1">
      <alignment horizontal="center" vertical="center" wrapText="1"/>
    </xf>
    <xf numFmtId="0" fontId="67" fillId="0" borderId="39" xfId="9" applyFont="1" applyBorder="1" applyAlignment="1">
      <alignment horizontal="center" vertical="center"/>
    </xf>
    <xf numFmtId="49" fontId="66" fillId="0" borderId="39" xfId="9" applyNumberFormat="1" applyFont="1" applyBorder="1" applyAlignment="1">
      <alignment horizontal="center" vertical="center"/>
    </xf>
    <xf numFmtId="49" fontId="53" fillId="0" borderId="39" xfId="9" applyNumberFormat="1" applyFont="1" applyBorder="1" applyAlignment="1">
      <alignment horizontal="center" vertical="center" wrapText="1"/>
    </xf>
    <xf numFmtId="49" fontId="66" fillId="0" borderId="32" xfId="9" applyNumberFormat="1" applyFont="1" applyBorder="1" applyAlignment="1">
      <alignment horizontal="center" vertical="center"/>
    </xf>
    <xf numFmtId="49" fontId="53" fillId="0" borderId="32" xfId="9" applyNumberFormat="1" applyFont="1" applyBorder="1" applyAlignment="1">
      <alignment horizontal="center" vertical="center" wrapText="1"/>
    </xf>
    <xf numFmtId="0" fontId="66" fillId="0" borderId="32" xfId="9" applyFont="1" applyBorder="1" applyAlignment="1">
      <alignment horizontal="center" vertical="center"/>
    </xf>
    <xf numFmtId="49" fontId="51" fillId="0" borderId="40" xfId="9" applyNumberFormat="1" applyFont="1" applyBorder="1" applyAlignment="1">
      <alignment horizontal="center" vertical="center"/>
    </xf>
    <xf numFmtId="0" fontId="52" fillId="0" borderId="32" xfId="9" applyFont="1" applyBorder="1" applyAlignment="1">
      <alignment horizontal="left" vertical="center"/>
    </xf>
    <xf numFmtId="0" fontId="52" fillId="0" borderId="32" xfId="9" applyFont="1" applyBorder="1" applyAlignment="1">
      <alignment horizontal="center" vertical="center"/>
    </xf>
    <xf numFmtId="0" fontId="47" fillId="0" borderId="0" xfId="9"/>
    <xf numFmtId="0" fontId="71" fillId="0" borderId="142" xfId="9" applyFont="1" applyBorder="1" applyAlignment="1">
      <alignment horizontal="center" vertical="center" wrapText="1"/>
    </xf>
    <xf numFmtId="0" fontId="71" fillId="0" borderId="136" xfId="9" applyFont="1" applyBorder="1" applyAlignment="1">
      <alignment horizontal="center" vertical="center" wrapText="1"/>
    </xf>
    <xf numFmtId="0" fontId="71" fillId="0" borderId="136" xfId="9" applyFont="1" applyBorder="1" applyAlignment="1">
      <alignment horizontal="center" vertical="center"/>
    </xf>
    <xf numFmtId="0" fontId="71" fillId="0" borderId="95" xfId="9" applyFont="1" applyBorder="1" applyAlignment="1">
      <alignment horizontal="center" vertical="center"/>
    </xf>
    <xf numFmtId="0" fontId="72" fillId="0" borderId="0" xfId="9" applyFont="1" applyAlignment="1">
      <alignment horizontal="center"/>
    </xf>
    <xf numFmtId="0" fontId="71" fillId="0" borderId="110" xfId="9" applyFont="1" applyBorder="1" applyAlignment="1">
      <alignment horizontal="center" vertical="center"/>
    </xf>
    <xf numFmtId="168" fontId="47" fillId="0" borderId="111" xfId="9" applyNumberFormat="1" applyBorder="1" applyAlignment="1">
      <alignment horizontal="center" vertical="center"/>
    </xf>
    <xf numFmtId="0" fontId="47" fillId="0" borderId="111" xfId="9" applyBorder="1" applyAlignment="1">
      <alignment horizontal="center" vertical="center" wrapText="1"/>
    </xf>
    <xf numFmtId="0" fontId="47" fillId="0" borderId="111" xfId="9" applyBorder="1" applyAlignment="1">
      <alignment horizontal="center" vertical="center"/>
    </xf>
    <xf numFmtId="170" fontId="47" fillId="0" borderId="111" xfId="9" applyNumberFormat="1" applyBorder="1" applyAlignment="1">
      <alignment horizontal="center" vertical="center"/>
    </xf>
    <xf numFmtId="0" fontId="47" fillId="0" borderId="139" xfId="9" applyBorder="1"/>
    <xf numFmtId="0" fontId="71" fillId="0" borderId="36" xfId="9" applyFont="1" applyBorder="1" applyAlignment="1">
      <alignment horizontal="center" vertical="center"/>
    </xf>
    <xf numFmtId="168" fontId="47" fillId="0" borderId="39" xfId="9" applyNumberFormat="1" applyBorder="1" applyAlignment="1">
      <alignment horizontal="center" vertical="center"/>
    </xf>
    <xf numFmtId="0" fontId="47" fillId="0" borderId="39" xfId="9" applyBorder="1" applyAlignment="1">
      <alignment horizontal="center" vertical="center" wrapText="1"/>
    </xf>
    <xf numFmtId="0" fontId="47" fillId="0" borderId="39" xfId="9" applyBorder="1" applyAlignment="1">
      <alignment horizontal="center" vertical="center"/>
    </xf>
    <xf numFmtId="170" fontId="47" fillId="0" borderId="39" xfId="9" applyNumberFormat="1" applyBorder="1" applyAlignment="1">
      <alignment horizontal="center" vertical="center"/>
    </xf>
    <xf numFmtId="0" fontId="47" fillId="21" borderId="141" xfId="9" applyFill="1" applyBorder="1"/>
    <xf numFmtId="0" fontId="71" fillId="0" borderId="41" xfId="9" applyFont="1" applyBorder="1" applyAlignment="1">
      <alignment horizontal="center" vertical="center"/>
    </xf>
    <xf numFmtId="168" fontId="47" fillId="0" borderId="32" xfId="9" applyNumberFormat="1" applyBorder="1" applyAlignment="1">
      <alignment horizontal="center" vertical="center"/>
    </xf>
    <xf numFmtId="0" fontId="47" fillId="0" borderId="32" xfId="9" applyBorder="1" applyAlignment="1">
      <alignment horizontal="center" vertical="center" wrapText="1"/>
    </xf>
    <xf numFmtId="0" fontId="47" fillId="0" borderId="32" xfId="9" applyBorder="1" applyAlignment="1">
      <alignment horizontal="center" vertical="center"/>
    </xf>
    <xf numFmtId="170" fontId="47" fillId="0" borderId="32" xfId="9" applyNumberFormat="1" applyBorder="1" applyAlignment="1">
      <alignment horizontal="center" vertical="center"/>
    </xf>
    <xf numFmtId="0" fontId="47" fillId="17" borderId="140" xfId="9" applyFill="1" applyBorder="1"/>
    <xf numFmtId="0" fontId="47" fillId="17" borderId="140" xfId="9" applyFill="1" applyBorder="1" applyAlignment="1">
      <alignment horizontal="center" vertical="center"/>
    </xf>
    <xf numFmtId="0" fontId="71" fillId="0" borderId="41" xfId="9" applyFont="1" applyBorder="1"/>
    <xf numFmtId="168" fontId="47" fillId="0" borderId="32" xfId="9" applyNumberFormat="1" applyBorder="1"/>
    <xf numFmtId="0" fontId="47" fillId="0" borderId="32" xfId="9" applyBorder="1" applyAlignment="1">
      <alignment horizontal="left"/>
    </xf>
    <xf numFmtId="0" fontId="47" fillId="0" borderId="32" xfId="9" applyBorder="1"/>
    <xf numFmtId="170" fontId="47" fillId="0" borderId="32" xfId="9" applyNumberFormat="1" applyBorder="1"/>
    <xf numFmtId="0" fontId="47" fillId="0" borderId="140" xfId="9" applyBorder="1"/>
    <xf numFmtId="0" fontId="71" fillId="0" borderId="116" xfId="9" applyFont="1" applyBorder="1"/>
    <xf numFmtId="170" fontId="47" fillId="0" borderId="117" xfId="9" applyNumberFormat="1" applyBorder="1"/>
    <xf numFmtId="0" fontId="47" fillId="0" borderId="117" xfId="9" applyBorder="1" applyAlignment="1">
      <alignment horizontal="left"/>
    </xf>
    <xf numFmtId="0" fontId="47" fillId="0" borderId="117" xfId="9" applyBorder="1"/>
    <xf numFmtId="0" fontId="47" fillId="0" borderId="143" xfId="9" applyBorder="1"/>
    <xf numFmtId="0" fontId="71" fillId="0" borderId="0" xfId="9" applyFont="1"/>
    <xf numFmtId="170" fontId="47" fillId="0" borderId="0" xfId="9" applyNumberFormat="1"/>
    <xf numFmtId="0" fontId="47" fillId="0" borderId="0" xfId="9" applyAlignment="1">
      <alignment horizontal="left"/>
    </xf>
    <xf numFmtId="0" fontId="47" fillId="0" borderId="0" xfId="9" applyAlignment="1">
      <alignment horizontal="center"/>
    </xf>
    <xf numFmtId="0" fontId="74" fillId="0" borderId="0" xfId="9" applyFont="1"/>
    <xf numFmtId="0" fontId="74" fillId="0" borderId="0" xfId="9" applyFont="1" applyAlignment="1">
      <alignment horizontal="center"/>
    </xf>
    <xf numFmtId="0" fontId="75" fillId="0" borderId="0" xfId="9" applyFont="1" applyAlignment="1">
      <alignment horizontal="center"/>
    </xf>
    <xf numFmtId="0" fontId="75" fillId="0" borderId="90" xfId="9" applyFont="1" applyBorder="1" applyAlignment="1">
      <alignment horizontal="center"/>
    </xf>
    <xf numFmtId="0" fontId="75" fillId="0" borderId="121" xfId="9" applyFont="1" applyBorder="1" applyAlignment="1">
      <alignment horizontal="center"/>
    </xf>
    <xf numFmtId="0" fontId="75" fillId="0" borderId="144" xfId="9" applyFont="1" applyBorder="1" applyAlignment="1">
      <alignment horizontal="center"/>
    </xf>
    <xf numFmtId="168" fontId="47" fillId="0" borderId="32" xfId="9" applyNumberFormat="1" applyBorder="1" applyAlignment="1">
      <alignment horizontal="center"/>
    </xf>
    <xf numFmtId="169" fontId="47" fillId="0" borderId="39" xfId="9" applyNumberFormat="1" applyBorder="1" applyAlignment="1">
      <alignment horizontal="center"/>
    </xf>
    <xf numFmtId="0" fontId="47" fillId="0" borderId="39" xfId="9" applyBorder="1" applyAlignment="1">
      <alignment horizontal="center"/>
    </xf>
    <xf numFmtId="0" fontId="47" fillId="0" borderId="32" xfId="9" applyBorder="1" applyAlignment="1">
      <alignment horizontal="center"/>
    </xf>
    <xf numFmtId="0" fontId="77" fillId="20" borderId="0" xfId="5" applyFont="1" applyFill="1" applyAlignment="1">
      <alignment horizontal="center" vertical="center"/>
    </xf>
    <xf numFmtId="0" fontId="5" fillId="0" borderId="0" xfId="12"/>
    <xf numFmtId="0" fontId="78" fillId="20" borderId="84" xfId="5" applyFont="1" applyFill="1" applyBorder="1"/>
    <xf numFmtId="0" fontId="78" fillId="20" borderId="9" xfId="5" applyFont="1" applyFill="1" applyBorder="1" applyAlignment="1">
      <alignment horizontal="center"/>
    </xf>
    <xf numFmtId="0" fontId="79" fillId="20" borderId="9" xfId="5" applyFont="1" applyFill="1" applyBorder="1"/>
    <xf numFmtId="0" fontId="79" fillId="20" borderId="146" xfId="5" applyFont="1" applyFill="1" applyBorder="1"/>
    <xf numFmtId="0" fontId="78" fillId="20" borderId="9" xfId="5" applyFont="1" applyFill="1" applyBorder="1"/>
    <xf numFmtId="0" fontId="78" fillId="20" borderId="66" xfId="5" applyFont="1" applyFill="1" applyBorder="1"/>
    <xf numFmtId="0" fontId="79" fillId="20" borderId="66" xfId="5" applyFont="1" applyFill="1" applyBorder="1"/>
    <xf numFmtId="0" fontId="78" fillId="22" borderId="64" xfId="5" applyFont="1" applyFill="1" applyBorder="1"/>
    <xf numFmtId="0" fontId="78" fillId="0" borderId="0" xfId="5" applyFont="1"/>
    <xf numFmtId="0" fontId="79" fillId="0" borderId="0" xfId="5" applyFont="1"/>
    <xf numFmtId="0" fontId="80" fillId="20" borderId="88" xfId="5" applyFont="1" applyFill="1" applyBorder="1"/>
    <xf numFmtId="0" fontId="80" fillId="20" borderId="0" xfId="5" applyFont="1" applyFill="1" applyAlignment="1">
      <alignment horizontal="center"/>
    </xf>
    <xf numFmtId="0" fontId="79" fillId="20" borderId="0" xfId="5" applyFont="1" applyFill="1"/>
    <xf numFmtId="0" fontId="80" fillId="20" borderId="0" xfId="5" applyFont="1" applyFill="1"/>
    <xf numFmtId="0" fontId="80" fillId="22" borderId="28" xfId="5" applyFont="1" applyFill="1" applyBorder="1"/>
    <xf numFmtId="0" fontId="80" fillId="0" borderId="0" xfId="5" applyFont="1"/>
    <xf numFmtId="0" fontId="81" fillId="20" borderId="89" xfId="5" applyFont="1" applyFill="1" applyBorder="1"/>
    <xf numFmtId="0" fontId="82" fillId="20" borderId="47" xfId="5" applyFont="1" applyFill="1" applyBorder="1" applyAlignment="1">
      <alignment horizontal="center"/>
    </xf>
    <xf numFmtId="0" fontId="0" fillId="20" borderId="47" xfId="5" applyFont="1" applyFill="1" applyBorder="1"/>
    <xf numFmtId="0" fontId="0" fillId="20" borderId="86" xfId="5" applyFont="1" applyFill="1" applyBorder="1"/>
    <xf numFmtId="0" fontId="81" fillId="20" borderId="89" xfId="5" applyFont="1" applyFill="1" applyBorder="1" applyProtection="1">
      <protection locked="0"/>
    </xf>
    <xf numFmtId="0" fontId="82" fillId="20" borderId="47" xfId="5" applyFont="1" applyFill="1" applyBorder="1" applyProtection="1">
      <protection locked="0"/>
    </xf>
    <xf numFmtId="14" fontId="81" fillId="20" borderId="89" xfId="5" applyNumberFormat="1" applyFont="1" applyFill="1" applyBorder="1" applyAlignment="1" applyProtection="1">
      <alignment horizontal="center"/>
      <protection locked="0"/>
    </xf>
    <xf numFmtId="14" fontId="0" fillId="20" borderId="47" xfId="5" applyNumberFormat="1" applyFont="1" applyFill="1" applyBorder="1" applyAlignment="1" applyProtection="1">
      <alignment horizontal="center"/>
      <protection locked="0"/>
    </xf>
    <xf numFmtId="14" fontId="0" fillId="20" borderId="86" xfId="5" applyNumberFormat="1" applyFont="1" applyFill="1" applyBorder="1" applyAlignment="1" applyProtection="1">
      <alignment horizontal="center"/>
      <protection locked="0"/>
    </xf>
    <xf numFmtId="14" fontId="82" fillId="20" borderId="89" xfId="5" applyNumberFormat="1" applyFont="1" applyFill="1" applyBorder="1" applyAlignment="1" applyProtection="1">
      <alignment horizontal="center"/>
      <protection locked="0"/>
    </xf>
    <xf numFmtId="14" fontId="82" fillId="20" borderId="47" xfId="5" applyNumberFormat="1" applyFont="1" applyFill="1" applyBorder="1" applyAlignment="1" applyProtection="1">
      <alignment horizontal="center"/>
      <protection locked="0"/>
    </xf>
    <xf numFmtId="14" fontId="82" fillId="20" borderId="54" xfId="5" applyNumberFormat="1" applyFont="1" applyFill="1" applyBorder="1" applyAlignment="1" applyProtection="1">
      <alignment horizontal="center"/>
      <protection locked="0"/>
    </xf>
    <xf numFmtId="0" fontId="0" fillId="20" borderId="54" xfId="5" applyFont="1" applyFill="1" applyBorder="1" applyAlignment="1">
      <alignment horizontal="center"/>
    </xf>
    <xf numFmtId="14" fontId="82" fillId="22" borderId="69" xfId="5" applyNumberFormat="1" applyFont="1" applyFill="1" applyBorder="1" applyAlignment="1" applyProtection="1">
      <alignment horizontal="center"/>
      <protection locked="0"/>
    </xf>
    <xf numFmtId="14" fontId="82" fillId="0" borderId="0" xfId="5" applyNumberFormat="1" applyFont="1" applyAlignment="1" applyProtection="1">
      <alignment horizontal="center"/>
      <protection locked="0"/>
    </xf>
    <xf numFmtId="0" fontId="0" fillId="0" borderId="0" xfId="5" applyFont="1" applyAlignment="1">
      <alignment horizontal="center"/>
    </xf>
    <xf numFmtId="0" fontId="79" fillId="23" borderId="66" xfId="5" applyFont="1" applyFill="1" applyBorder="1"/>
    <xf numFmtId="0" fontId="79" fillId="22" borderId="64" xfId="5" applyFont="1" applyFill="1" applyBorder="1"/>
    <xf numFmtId="0" fontId="83" fillId="20" borderId="0" xfId="5" applyFont="1" applyFill="1"/>
    <xf numFmtId="0" fontId="79" fillId="23" borderId="0" xfId="5" applyFont="1" applyFill="1"/>
    <xf numFmtId="0" fontId="79" fillId="22" borderId="28" xfId="5" applyFont="1" applyFill="1" applyBorder="1"/>
    <xf numFmtId="0" fontId="84" fillId="20" borderId="88" xfId="5" applyFont="1" applyFill="1" applyBorder="1"/>
    <xf numFmtId="0" fontId="84" fillId="20" borderId="0" xfId="5" applyFont="1" applyFill="1"/>
    <xf numFmtId="0" fontId="0" fillId="20" borderId="89" xfId="5" applyFont="1" applyFill="1" applyBorder="1"/>
    <xf numFmtId="0" fontId="0" fillId="20" borderId="47" xfId="5" applyFont="1" applyFill="1" applyBorder="1" applyAlignment="1">
      <alignment horizontal="center"/>
    </xf>
    <xf numFmtId="0" fontId="0" fillId="20" borderId="86" xfId="5" applyFont="1" applyFill="1" applyBorder="1" applyAlignment="1">
      <alignment horizontal="right"/>
    </xf>
    <xf numFmtId="0" fontId="82" fillId="20" borderId="89" xfId="5" applyFont="1" applyFill="1" applyBorder="1" applyProtection="1">
      <protection locked="0"/>
    </xf>
    <xf numFmtId="0" fontId="83" fillId="20" borderId="47" xfId="5" applyFont="1" applyFill="1" applyBorder="1"/>
    <xf numFmtId="0" fontId="79" fillId="20" borderId="47" xfId="5" applyFont="1" applyFill="1" applyBorder="1"/>
    <xf numFmtId="0" fontId="0" fillId="20" borderId="89" xfId="5" applyFont="1" applyFill="1" applyBorder="1" applyAlignment="1" applyProtection="1">
      <alignment horizontal="center"/>
      <protection locked="0"/>
    </xf>
    <xf numFmtId="0" fontId="0" fillId="20" borderId="47" xfId="5" applyFont="1" applyFill="1" applyBorder="1" applyAlignment="1" applyProtection="1">
      <alignment horizontal="center"/>
      <protection locked="0"/>
    </xf>
    <xf numFmtId="0" fontId="5" fillId="23" borderId="54" xfId="5" applyFill="1" applyBorder="1" applyAlignment="1">
      <alignment horizontal="center"/>
    </xf>
    <xf numFmtId="0" fontId="5" fillId="22" borderId="69" xfId="5" applyFill="1" applyBorder="1" applyAlignment="1">
      <alignment horizontal="center"/>
    </xf>
    <xf numFmtId="0" fontId="78" fillId="20" borderId="88" xfId="5" applyFont="1" applyFill="1" applyBorder="1"/>
    <xf numFmtId="0" fontId="78" fillId="20" borderId="0" xfId="5" applyFont="1" applyFill="1" applyAlignment="1">
      <alignment horizontal="center"/>
    </xf>
    <xf numFmtId="0" fontId="79" fillId="0" borderId="28" xfId="5" applyFont="1" applyBorder="1"/>
    <xf numFmtId="0" fontId="0" fillId="20" borderId="89" xfId="5" applyFont="1" applyFill="1" applyBorder="1" applyProtection="1">
      <protection locked="0"/>
    </xf>
    <xf numFmtId="0" fontId="0" fillId="20" borderId="47" xfId="5" applyFont="1" applyFill="1" applyBorder="1" applyProtection="1">
      <protection locked="0"/>
    </xf>
    <xf numFmtId="0" fontId="81" fillId="20" borderId="89" xfId="5" applyFont="1" applyFill="1" applyBorder="1" applyAlignment="1" applyProtection="1">
      <alignment horizontal="left"/>
      <protection locked="0"/>
    </xf>
    <xf numFmtId="0" fontId="78" fillId="20" borderId="0" xfId="5" applyFont="1" applyFill="1"/>
    <xf numFmtId="49" fontId="81" fillId="20" borderId="89" xfId="5" applyNumberFormat="1" applyFont="1" applyFill="1" applyBorder="1" applyAlignment="1">
      <alignment horizontal="center"/>
    </xf>
    <xf numFmtId="0" fontId="0" fillId="20" borderId="86" xfId="5" applyFont="1" applyFill="1" applyBorder="1" applyAlignment="1">
      <alignment horizontal="center"/>
    </xf>
    <xf numFmtId="0" fontId="87" fillId="20" borderId="9" xfId="5" applyFont="1" applyFill="1" applyBorder="1" applyAlignment="1">
      <alignment vertical="center" wrapText="1"/>
    </xf>
    <xf numFmtId="0" fontId="85" fillId="20" borderId="9" xfId="5" applyFont="1" applyFill="1" applyBorder="1" applyAlignment="1">
      <alignment vertical="center" wrapText="1"/>
    </xf>
    <xf numFmtId="0" fontId="85" fillId="20" borderId="66" xfId="5" applyFont="1" applyFill="1" applyBorder="1" applyAlignment="1">
      <alignment vertical="center" wrapText="1"/>
    </xf>
    <xf numFmtId="0" fontId="85" fillId="22" borderId="64" xfId="5" applyFont="1" applyFill="1" applyBorder="1" applyAlignment="1">
      <alignment vertical="center" wrapText="1"/>
    </xf>
    <xf numFmtId="0" fontId="87" fillId="0" borderId="0" xfId="5" applyFont="1" applyAlignment="1">
      <alignment vertical="center" wrapText="1"/>
    </xf>
    <xf numFmtId="0" fontId="85" fillId="0" borderId="0" xfId="5" applyFont="1" applyAlignment="1">
      <alignment vertical="center" wrapText="1"/>
    </xf>
    <xf numFmtId="0" fontId="87" fillId="20" borderId="0" xfId="5" applyFont="1" applyFill="1" applyAlignment="1">
      <alignment vertical="center" wrapText="1"/>
    </xf>
    <xf numFmtId="0" fontId="85" fillId="20" borderId="0" xfId="5" applyFont="1" applyFill="1" applyAlignment="1">
      <alignment vertical="center" wrapText="1"/>
    </xf>
    <xf numFmtId="0" fontId="85" fillId="22" borderId="28" xfId="5" applyFont="1" applyFill="1" applyBorder="1" applyAlignment="1">
      <alignment vertical="center" wrapText="1"/>
    </xf>
    <xf numFmtId="0" fontId="85" fillId="20" borderId="39" xfId="5" applyFont="1" applyFill="1" applyBorder="1" applyAlignment="1">
      <alignment horizontal="center" vertical="center" wrapText="1"/>
    </xf>
    <xf numFmtId="0" fontId="86" fillId="20" borderId="32" xfId="5" applyFont="1" applyFill="1" applyBorder="1" applyAlignment="1">
      <alignment horizontal="center" vertical="center" wrapText="1"/>
    </xf>
    <xf numFmtId="0" fontId="87" fillId="0" borderId="88" xfId="5" applyFont="1" applyBorder="1" applyAlignment="1">
      <alignment horizontal="center" vertical="center" wrapText="1"/>
    </xf>
    <xf numFmtId="0" fontId="87" fillId="0" borderId="0" xfId="5" applyFont="1" applyAlignment="1">
      <alignment horizontal="center" vertical="center" wrapText="1"/>
    </xf>
    <xf numFmtId="0" fontId="85" fillId="0" borderId="0" xfId="5" applyFont="1" applyAlignment="1">
      <alignment horizontal="center" vertical="center" wrapText="1"/>
    </xf>
    <xf numFmtId="0" fontId="83" fillId="20" borderId="32" xfId="5" applyFont="1" applyFill="1" applyBorder="1" applyAlignment="1" applyProtection="1">
      <alignment horizontal="center" vertical="center" wrapText="1"/>
      <protection locked="0"/>
    </xf>
    <xf numFmtId="14" fontId="83" fillId="20" borderId="32" xfId="5" applyNumberFormat="1" applyFont="1" applyFill="1" applyBorder="1" applyAlignment="1" applyProtection="1">
      <alignment horizontal="center" vertical="center" wrapText="1"/>
      <protection locked="0"/>
    </xf>
    <xf numFmtId="0" fontId="83" fillId="20" borderId="113" xfId="5" applyFont="1" applyFill="1" applyBorder="1" applyAlignment="1" applyProtection="1">
      <alignment horizontal="center" vertical="center" wrapText="1"/>
      <protection locked="0"/>
    </xf>
    <xf numFmtId="0" fontId="79" fillId="0" borderId="88" xfId="5" applyFont="1" applyBorder="1" applyAlignment="1" applyProtection="1">
      <alignment horizontal="center" vertical="center" wrapText="1"/>
      <protection locked="0"/>
    </xf>
    <xf numFmtId="0" fontId="79" fillId="0" borderId="0" xfId="5" applyFont="1" applyAlignment="1" applyProtection="1">
      <alignment horizontal="center" vertical="center" wrapText="1"/>
      <protection locked="0"/>
    </xf>
    <xf numFmtId="0" fontId="5" fillId="0" borderId="0" xfId="5" applyAlignment="1">
      <alignment horizontal="center" vertical="center"/>
    </xf>
    <xf numFmtId="0" fontId="85" fillId="20" borderId="32" xfId="5" applyFont="1" applyFill="1" applyBorder="1" applyAlignment="1">
      <alignment horizontal="center" vertical="center" wrapText="1"/>
    </xf>
    <xf numFmtId="0" fontId="85" fillId="20" borderId="32" xfId="5" applyFont="1" applyFill="1" applyBorder="1" applyAlignment="1">
      <alignment horizontal="center" vertical="center"/>
    </xf>
    <xf numFmtId="0" fontId="86" fillId="0" borderId="88" xfId="5" applyFont="1" applyBorder="1" applyAlignment="1">
      <alignment horizontal="center" vertical="center" wrapText="1"/>
    </xf>
    <xf numFmtId="0" fontId="85" fillId="0" borderId="0" xfId="5" applyFont="1" applyAlignment="1">
      <alignment vertical="center"/>
    </xf>
    <xf numFmtId="0" fontId="85" fillId="20" borderId="0" xfId="5" applyFont="1" applyFill="1" applyAlignment="1">
      <alignment vertical="center"/>
    </xf>
    <xf numFmtId="0" fontId="88" fillId="20" borderId="32" xfId="5" applyFont="1" applyFill="1" applyBorder="1" applyAlignment="1">
      <alignment horizontal="center" vertical="center" wrapText="1"/>
    </xf>
    <xf numFmtId="0" fontId="89" fillId="20" borderId="32" xfId="5" applyFont="1" applyFill="1" applyBorder="1" applyAlignment="1">
      <alignment horizontal="center" vertical="center" wrapText="1"/>
    </xf>
    <xf numFmtId="0" fontId="88" fillId="20" borderId="32" xfId="5" applyFont="1" applyFill="1" applyBorder="1" applyAlignment="1">
      <alignment horizontal="center" vertical="center"/>
    </xf>
    <xf numFmtId="14" fontId="88" fillId="20" borderId="32" xfId="5" applyNumberFormat="1" applyFont="1" applyFill="1" applyBorder="1" applyAlignment="1">
      <alignment horizontal="center" vertical="center" wrapText="1"/>
    </xf>
    <xf numFmtId="14" fontId="88" fillId="20" borderId="32" xfId="5" applyNumberFormat="1" applyFont="1" applyFill="1" applyBorder="1" applyAlignment="1">
      <alignment horizontal="center" vertical="center"/>
    </xf>
    <xf numFmtId="0" fontId="79" fillId="0" borderId="88" xfId="5" applyFont="1" applyBorder="1" applyAlignment="1" applyProtection="1">
      <alignment horizontal="center" vertical="top" wrapText="1"/>
      <protection locked="0"/>
    </xf>
    <xf numFmtId="0" fontId="79" fillId="0" borderId="0" xfId="5" applyFont="1" applyAlignment="1" applyProtection="1">
      <alignment horizontal="center" vertical="top" wrapText="1"/>
      <protection locked="0"/>
    </xf>
    <xf numFmtId="0" fontId="79" fillId="0" borderId="0" xfId="5" applyFont="1" applyAlignment="1" applyProtection="1">
      <alignment vertical="top" wrapText="1"/>
      <protection locked="0"/>
    </xf>
    <xf numFmtId="0" fontId="86" fillId="20" borderId="32" xfId="5" applyFont="1" applyFill="1" applyBorder="1" applyAlignment="1" applyProtection="1">
      <alignment horizontal="center" vertical="center" wrapText="1"/>
      <protection locked="0"/>
    </xf>
    <xf numFmtId="0" fontId="85" fillId="0" borderId="88" xfId="5" applyFont="1" applyBorder="1" applyAlignment="1">
      <alignment vertical="center"/>
    </xf>
    <xf numFmtId="0" fontId="88" fillId="20" borderId="32" xfId="5" applyFont="1" applyFill="1" applyBorder="1" applyAlignment="1" applyProtection="1">
      <alignment horizontal="center" vertical="center" wrapText="1"/>
      <protection locked="0"/>
    </xf>
    <xf numFmtId="14" fontId="88" fillId="20" borderId="32" xfId="5" applyNumberFormat="1" applyFont="1" applyFill="1" applyBorder="1" applyAlignment="1" applyProtection="1">
      <alignment horizontal="center" vertical="center" wrapText="1"/>
      <protection locked="0"/>
    </xf>
    <xf numFmtId="0" fontId="79" fillId="0" borderId="88" xfId="5" applyFont="1" applyBorder="1" applyAlignment="1" applyProtection="1">
      <alignment vertical="top" wrapText="1"/>
      <protection locked="0"/>
    </xf>
    <xf numFmtId="0" fontId="83" fillId="20" borderId="38" xfId="5" applyFont="1" applyFill="1" applyBorder="1" applyAlignment="1">
      <alignment horizontal="center" vertical="center" wrapText="1"/>
    </xf>
    <xf numFmtId="0" fontId="85" fillId="20" borderId="38" xfId="5" applyFont="1" applyFill="1" applyBorder="1" applyAlignment="1">
      <alignment horizontal="center" vertical="center" wrapText="1"/>
    </xf>
    <xf numFmtId="49" fontId="83" fillId="20" borderId="32" xfId="5" applyNumberFormat="1" applyFont="1" applyFill="1" applyBorder="1" applyAlignment="1" applyProtection="1">
      <alignment horizontal="center" vertical="center" wrapText="1"/>
      <protection locked="0"/>
    </xf>
    <xf numFmtId="49" fontId="86" fillId="20" borderId="32" xfId="5" applyNumberFormat="1" applyFont="1" applyFill="1" applyBorder="1" applyAlignment="1" applyProtection="1">
      <alignment horizontal="center" vertical="center" wrapText="1"/>
      <protection locked="0"/>
    </xf>
    <xf numFmtId="0" fontId="5" fillId="0" borderId="0" xfId="12" applyAlignment="1">
      <alignment horizontal="center"/>
    </xf>
    <xf numFmtId="0" fontId="2" fillId="0" borderId="0" xfId="13"/>
    <xf numFmtId="0" fontId="97" fillId="14" borderId="23" xfId="13" applyFont="1" applyFill="1" applyBorder="1" applyAlignment="1">
      <alignment horizontal="center" vertical="center"/>
    </xf>
    <xf numFmtId="0" fontId="97" fillId="14" borderId="45" xfId="13" applyFont="1" applyFill="1" applyBorder="1" applyAlignment="1">
      <alignment horizontal="center" vertical="center"/>
    </xf>
    <xf numFmtId="0" fontId="92" fillId="0" borderId="58" xfId="13" applyFont="1" applyBorder="1" applyAlignment="1">
      <alignment horizontal="center" vertical="center"/>
    </xf>
    <xf numFmtId="2" fontId="92" fillId="0" borderId="24" xfId="13" applyNumberFormat="1" applyFont="1" applyBorder="1" applyAlignment="1">
      <alignment horizontal="center" vertical="center"/>
    </xf>
    <xf numFmtId="166" fontId="92" fillId="0" borderId="17" xfId="13" applyNumberFormat="1" applyFont="1" applyBorder="1" applyAlignment="1">
      <alignment horizontal="center" vertical="center"/>
    </xf>
    <xf numFmtId="2" fontId="92" fillId="0" borderId="17" xfId="13" applyNumberFormat="1" applyFont="1" applyBorder="1" applyAlignment="1">
      <alignment horizontal="center" vertical="center"/>
    </xf>
    <xf numFmtId="0" fontId="100" fillId="0" borderId="24" xfId="14" applyFont="1" applyBorder="1" applyAlignment="1" applyProtection="1">
      <alignment horizontal="center" vertical="center"/>
      <protection locked="0"/>
    </xf>
    <xf numFmtId="0" fontId="42" fillId="0" borderId="25" xfId="13" applyFont="1" applyBorder="1"/>
    <xf numFmtId="0" fontId="100" fillId="0" borderId="25" xfId="14" applyFont="1" applyBorder="1" applyAlignment="1" applyProtection="1">
      <alignment horizontal="center" vertical="center"/>
      <protection locked="0"/>
    </xf>
    <xf numFmtId="0" fontId="101" fillId="0" borderId="6" xfId="15" applyBorder="1" applyAlignment="1">
      <alignment horizontal="center" vertical="center"/>
    </xf>
    <xf numFmtId="0" fontId="103" fillId="0" borderId="0" xfId="15" applyFont="1" applyAlignment="1">
      <alignment horizontal="left" vertical="center"/>
    </xf>
    <xf numFmtId="0" fontId="104" fillId="0" borderId="53" xfId="15" applyFont="1" applyBorder="1" applyAlignment="1">
      <alignment horizontal="center" vertical="center"/>
    </xf>
    <xf numFmtId="0" fontId="104" fillId="0" borderId="7" xfId="15" applyFont="1" applyBorder="1" applyAlignment="1">
      <alignment horizontal="center" vertical="center"/>
    </xf>
    <xf numFmtId="0" fontId="103" fillId="0" borderId="0" xfId="13" applyFont="1" applyAlignment="1">
      <alignment horizontal="left" vertical="center"/>
    </xf>
    <xf numFmtId="0" fontId="105" fillId="0" borderId="7" xfId="13" applyFont="1" applyBorder="1" applyAlignment="1">
      <alignment horizontal="center" vertical="center"/>
    </xf>
    <xf numFmtId="0" fontId="106" fillId="0" borderId="6" xfId="13" applyFont="1" applyBorder="1" applyAlignment="1">
      <alignment horizontal="center" vertical="center"/>
    </xf>
    <xf numFmtId="0" fontId="107" fillId="0" borderId="6" xfId="14" applyFont="1" applyBorder="1" applyAlignment="1">
      <alignment horizontal="center" vertical="center"/>
    </xf>
    <xf numFmtId="0" fontId="103" fillId="0" borderId="0" xfId="14" applyFont="1" applyAlignment="1">
      <alignment horizontal="left" vertical="center"/>
    </xf>
    <xf numFmtId="0" fontId="108" fillId="0" borderId="7" xfId="14" applyFont="1" applyBorder="1" applyAlignment="1">
      <alignment horizontal="center" vertical="center"/>
    </xf>
    <xf numFmtId="0" fontId="106" fillId="0" borderId="7" xfId="13" applyFont="1" applyBorder="1" applyAlignment="1">
      <alignment horizontal="center" vertical="center"/>
    </xf>
    <xf numFmtId="0" fontId="101" fillId="0" borderId="152" xfId="15" applyBorder="1" applyAlignment="1">
      <alignment horizontal="center" vertical="center"/>
    </xf>
    <xf numFmtId="0" fontId="103" fillId="0" borderId="153" xfId="15" applyFont="1" applyBorder="1" applyAlignment="1">
      <alignment horizontal="center" vertical="center"/>
    </xf>
    <xf numFmtId="0" fontId="101" fillId="0" borderId="154" xfId="15" applyBorder="1" applyAlignment="1">
      <alignment horizontal="center" vertical="center"/>
    </xf>
    <xf numFmtId="0" fontId="97" fillId="14" borderId="43" xfId="13" applyFont="1" applyFill="1" applyBorder="1" applyAlignment="1">
      <alignment horizontal="center" vertical="center"/>
    </xf>
    <xf numFmtId="2" fontId="44" fillId="0" borderId="24" xfId="0" applyNumberFormat="1" applyFont="1" applyBorder="1" applyAlignment="1">
      <alignment horizontal="center" vertical="center"/>
    </xf>
    <xf numFmtId="0" fontId="112" fillId="0" borderId="0" xfId="17" applyFont="1"/>
    <xf numFmtId="0" fontId="113" fillId="0" borderId="0" xfId="17" applyFont="1"/>
    <xf numFmtId="172" fontId="114" fillId="0" borderId="0" xfId="17" applyNumberFormat="1" applyFont="1"/>
    <xf numFmtId="0" fontId="115" fillId="0" borderId="0" xfId="17" applyFont="1" applyAlignment="1">
      <alignment horizontal="right"/>
    </xf>
    <xf numFmtId="3" fontId="115" fillId="0" borderId="0" xfId="17" applyNumberFormat="1" applyFont="1" applyAlignment="1">
      <alignment horizontal="left"/>
    </xf>
    <xf numFmtId="0" fontId="116" fillId="26" borderId="0" xfId="17" applyFont="1" applyFill="1" applyAlignment="1">
      <alignment horizontal="center" vertical="center" wrapText="1"/>
    </xf>
    <xf numFmtId="172" fontId="114" fillId="26" borderId="0" xfId="17" applyNumberFormat="1" applyFont="1" applyFill="1" applyAlignment="1">
      <alignment horizontal="center" vertical="center" wrapText="1"/>
    </xf>
    <xf numFmtId="0" fontId="117" fillId="26" borderId="0" xfId="17" applyFont="1" applyFill="1" applyAlignment="1">
      <alignment horizontal="left"/>
    </xf>
    <xf numFmtId="0" fontId="117" fillId="26" borderId="0" xfId="17" applyFont="1" applyFill="1"/>
    <xf numFmtId="172" fontId="114" fillId="26" borderId="0" xfId="17" applyNumberFormat="1" applyFont="1" applyFill="1"/>
    <xf numFmtId="0" fontId="117" fillId="0" borderId="0" xfId="17" applyFont="1" applyAlignment="1">
      <alignment horizontal="left"/>
    </xf>
    <xf numFmtId="9" fontId="117" fillId="0" borderId="0" xfId="18" applyFont="1" applyAlignment="1">
      <alignment horizontal="right"/>
    </xf>
    <xf numFmtId="9" fontId="117" fillId="0" borderId="0" xfId="19" applyNumberFormat="1" applyFont="1" applyFill="1" applyAlignment="1">
      <alignment horizontal="right"/>
    </xf>
    <xf numFmtId="9" fontId="117" fillId="26" borderId="0" xfId="18" applyFont="1" applyFill="1" applyAlignment="1">
      <alignment horizontal="right"/>
    </xf>
    <xf numFmtId="9" fontId="117" fillId="26" borderId="0" xfId="19" applyNumberFormat="1" applyFont="1" applyFill="1" applyAlignment="1">
      <alignment horizontal="right"/>
    </xf>
    <xf numFmtId="0" fontId="117" fillId="0" borderId="0" xfId="17" applyFont="1"/>
    <xf numFmtId="0" fontId="119" fillId="26" borderId="0" xfId="17" applyFont="1" applyFill="1" applyAlignment="1">
      <alignment horizontal="left"/>
    </xf>
    <xf numFmtId="0" fontId="119" fillId="26" borderId="0" xfId="19" applyFont="1" applyFill="1"/>
    <xf numFmtId="9" fontId="119" fillId="26" borderId="0" xfId="20" applyFont="1" applyFill="1"/>
    <xf numFmtId="9" fontId="119" fillId="26" borderId="0" xfId="21" applyNumberFormat="1" applyFont="1" applyFill="1"/>
    <xf numFmtId="172" fontId="120" fillId="26" borderId="0" xfId="17" applyNumberFormat="1" applyFont="1" applyFill="1"/>
    <xf numFmtId="0" fontId="121" fillId="0" borderId="0" xfId="17" applyFont="1"/>
    <xf numFmtId="172" fontId="0" fillId="0" borderId="0" xfId="17" applyNumberFormat="1" applyFont="1"/>
    <xf numFmtId="0" fontId="111" fillId="0" borderId="0" xfId="17"/>
    <xf numFmtId="173" fontId="123" fillId="28" borderId="0" xfId="22" applyFont="1" applyFill="1"/>
    <xf numFmtId="173" fontId="99" fillId="28" borderId="0" xfId="22" applyFont="1" applyFill="1" applyAlignment="1">
      <alignment horizontal="left"/>
    </xf>
    <xf numFmtId="173" fontId="123" fillId="0" borderId="0" xfId="22" applyFont="1"/>
    <xf numFmtId="173" fontId="125" fillId="28" borderId="0" xfId="22" applyFont="1" applyFill="1" applyAlignment="1">
      <alignment horizontal="center" vertical="center" wrapText="1"/>
    </xf>
    <xf numFmtId="173" fontId="127" fillId="28" borderId="0" xfId="22" applyFont="1" applyFill="1" applyAlignment="1">
      <alignment horizontal="center" vertical="center" wrapText="1"/>
    </xf>
    <xf numFmtId="173" fontId="123" fillId="28" borderId="0" xfId="22" applyFont="1" applyFill="1" applyAlignment="1">
      <alignment horizontal="center"/>
    </xf>
    <xf numFmtId="173" fontId="123" fillId="28" borderId="0" xfId="22" applyFont="1" applyFill="1" applyAlignment="1">
      <alignment horizontal="right" vertical="center"/>
    </xf>
    <xf numFmtId="173" fontId="123" fillId="28" borderId="0" xfId="22" applyFont="1" applyFill="1" applyAlignment="1">
      <alignment horizontal="right"/>
    </xf>
    <xf numFmtId="173" fontId="123" fillId="28" borderId="0" xfId="22" applyFont="1" applyFill="1" applyAlignment="1">
      <alignment horizontal="left"/>
    </xf>
    <xf numFmtId="173" fontId="123" fillId="28" borderId="158" xfId="22" applyFont="1" applyFill="1" applyBorder="1"/>
    <xf numFmtId="173" fontId="123" fillId="28" borderId="0" xfId="22" applyFont="1" applyFill="1" applyAlignment="1">
      <alignment vertical="center"/>
    </xf>
    <xf numFmtId="173" fontId="123" fillId="0" borderId="0" xfId="22" applyFont="1" applyAlignment="1">
      <alignment vertical="center"/>
    </xf>
    <xf numFmtId="173" fontId="130" fillId="0" borderId="0" xfId="24" applyAlignment="1">
      <alignment vertical="center"/>
    </xf>
    <xf numFmtId="173" fontId="123" fillId="28" borderId="0" xfId="22" applyFont="1" applyFill="1" applyAlignment="1">
      <alignment vertical="top" wrapText="1"/>
    </xf>
    <xf numFmtId="173" fontId="123" fillId="0" borderId="0" xfId="22" applyFont="1" applyAlignment="1">
      <alignment vertical="top" wrapText="1"/>
    </xf>
    <xf numFmtId="173" fontId="99" fillId="0" borderId="87" xfId="22" applyFont="1" applyBorder="1" applyAlignment="1">
      <alignment horizontal="center"/>
    </xf>
    <xf numFmtId="49" fontId="132" fillId="0" borderId="87" xfId="22" applyNumberFormat="1" applyFont="1" applyBorder="1" applyAlignment="1">
      <alignment horizontal="center" vertical="top" wrapText="1"/>
    </xf>
    <xf numFmtId="173" fontId="99" fillId="0" borderId="87" xfId="22" applyFont="1" applyBorder="1" applyAlignment="1">
      <alignment horizontal="center" vertical="top"/>
    </xf>
    <xf numFmtId="173" fontId="132" fillId="0" borderId="87" xfId="22" applyFont="1" applyBorder="1" applyAlignment="1">
      <alignment horizontal="left" vertical="top"/>
    </xf>
    <xf numFmtId="173" fontId="132" fillId="0" borderId="164" xfId="22" applyFont="1" applyBorder="1" applyAlignment="1">
      <alignment horizontal="left" vertical="top"/>
    </xf>
    <xf numFmtId="173" fontId="132" fillId="0" borderId="165" xfId="22" applyFont="1" applyBorder="1" applyAlignment="1">
      <alignment horizontal="left" vertical="top"/>
    </xf>
    <xf numFmtId="49" fontId="99" fillId="0" borderId="165" xfId="22" applyNumberFormat="1" applyFont="1" applyBorder="1" applyAlignment="1">
      <alignment horizontal="left" vertical="center"/>
    </xf>
    <xf numFmtId="173" fontId="99" fillId="0" borderId="159" xfId="22" applyFont="1" applyBorder="1" applyAlignment="1">
      <alignment vertical="center" wrapText="1"/>
    </xf>
    <xf numFmtId="176" fontId="99" fillId="0" borderId="159" xfId="22" applyNumberFormat="1" applyFont="1" applyBorder="1" applyAlignment="1">
      <alignment vertical="center" wrapText="1"/>
    </xf>
    <xf numFmtId="173" fontId="99" fillId="0" borderId="164" xfId="22" applyFont="1" applyBorder="1" applyAlignment="1">
      <alignment vertical="center" wrapText="1"/>
    </xf>
    <xf numFmtId="173" fontId="99" fillId="0" borderId="163" xfId="22" applyFont="1" applyBorder="1" applyAlignment="1">
      <alignment horizontal="center"/>
    </xf>
    <xf numFmtId="49" fontId="99" fillId="0" borderId="87" xfId="22" applyNumberFormat="1" applyFont="1" applyBorder="1" applyAlignment="1">
      <alignment horizontal="center" vertical="top" wrapText="1"/>
    </xf>
    <xf numFmtId="173" fontId="99" fillId="0" borderId="159" xfId="22" applyFont="1" applyBorder="1" applyAlignment="1">
      <alignment horizontal="left" vertical="top" wrapText="1"/>
    </xf>
    <xf numFmtId="173" fontId="99" fillId="0" borderId="164" xfId="22" applyFont="1" applyBorder="1" applyAlignment="1">
      <alignment horizontal="left" vertical="top" wrapText="1"/>
    </xf>
    <xf numFmtId="49" fontId="99" fillId="0" borderId="163" xfId="22" applyNumberFormat="1" applyFont="1" applyBorder="1" applyAlignment="1">
      <alignment horizontal="center" vertical="top" wrapText="1"/>
    </xf>
    <xf numFmtId="178" fontId="99" fillId="0" borderId="158" xfId="22" applyNumberFormat="1" applyFont="1" applyBorder="1" applyAlignment="1">
      <alignment horizontal="left" vertical="top" wrapText="1"/>
    </xf>
    <xf numFmtId="178" fontId="99" fillId="0" borderId="162" xfId="22" applyNumberFormat="1" applyFont="1" applyBorder="1" applyAlignment="1">
      <alignment horizontal="left" vertical="top" wrapText="1"/>
    </xf>
    <xf numFmtId="49" fontId="99" fillId="0" borderId="87" xfId="22" applyNumberFormat="1" applyFont="1" applyBorder="1" applyAlignment="1">
      <alignment horizontal="center" vertical="top"/>
    </xf>
    <xf numFmtId="173" fontId="99" fillId="0" borderId="166" xfId="22" applyFont="1" applyBorder="1" applyAlignment="1">
      <alignment horizontal="right"/>
    </xf>
    <xf numFmtId="173" fontId="99" fillId="0" borderId="166" xfId="22" applyFont="1" applyBorder="1" applyAlignment="1">
      <alignment horizontal="left"/>
    </xf>
    <xf numFmtId="173" fontId="99" fillId="0" borderId="0" xfId="22" applyFont="1" applyAlignment="1">
      <alignment horizontal="right"/>
    </xf>
    <xf numFmtId="176" fontId="99" fillId="0" borderId="166" xfId="22" applyNumberFormat="1" applyFont="1" applyBorder="1" applyAlignment="1">
      <alignment horizontal="left"/>
    </xf>
    <xf numFmtId="173" fontId="99" fillId="0" borderId="0" xfId="22" applyFont="1" applyAlignment="1">
      <alignment horizontal="center"/>
    </xf>
    <xf numFmtId="173" fontId="99" fillId="0" borderId="158" xfId="22" applyFont="1" applyBorder="1" applyAlignment="1">
      <alignment horizontal="left"/>
    </xf>
    <xf numFmtId="173" fontId="99" fillId="0" borderId="0" xfId="22" applyFont="1"/>
    <xf numFmtId="176" fontId="99" fillId="0" borderId="158" xfId="22" applyNumberFormat="1" applyFont="1" applyBorder="1" applyAlignment="1">
      <alignment horizontal="left"/>
    </xf>
    <xf numFmtId="173" fontId="99" fillId="0" borderId="0" xfId="22" applyFont="1" applyAlignment="1">
      <alignment horizontal="left"/>
    </xf>
    <xf numFmtId="173" fontId="99" fillId="0" borderId="167" xfId="22" applyFont="1" applyBorder="1"/>
    <xf numFmtId="173" fontId="99" fillId="0" borderId="168" xfId="22" applyFont="1" applyBorder="1"/>
    <xf numFmtId="173" fontId="123" fillId="0" borderId="161" xfId="22" applyFont="1" applyBorder="1"/>
    <xf numFmtId="173" fontId="123" fillId="0" borderId="158" xfId="22" applyFont="1" applyBorder="1"/>
    <xf numFmtId="173" fontId="123" fillId="0" borderId="162" xfId="22" applyFont="1" applyBorder="1"/>
    <xf numFmtId="0" fontId="126" fillId="0" borderId="0" xfId="23"/>
    <xf numFmtId="173" fontId="122" fillId="28" borderId="0" xfId="22" applyFill="1"/>
    <xf numFmtId="173" fontId="122" fillId="0" borderId="0" xfId="22"/>
    <xf numFmtId="173" fontId="133" fillId="0" borderId="0" xfId="22" applyFont="1"/>
    <xf numFmtId="0" fontId="135" fillId="0" borderId="160" xfId="25" applyFont="1" applyBorder="1" applyAlignment="1">
      <alignment vertical="center"/>
    </xf>
    <xf numFmtId="0" fontId="134" fillId="0" borderId="166" xfId="25" applyBorder="1" applyAlignment="1">
      <alignment vertical="center"/>
    </xf>
    <xf numFmtId="0" fontId="135" fillId="0" borderId="166" xfId="25" applyFont="1" applyBorder="1" applyAlignment="1">
      <alignment vertical="center"/>
    </xf>
    <xf numFmtId="0" fontId="135" fillId="0" borderId="169" xfId="25" applyFont="1" applyBorder="1" applyAlignment="1">
      <alignment vertical="center"/>
    </xf>
    <xf numFmtId="0" fontId="134" fillId="0" borderId="169" xfId="25" applyBorder="1" applyAlignment="1">
      <alignment vertical="center"/>
    </xf>
    <xf numFmtId="0" fontId="134" fillId="0" borderId="0" xfId="25" applyAlignment="1">
      <alignment vertical="center"/>
    </xf>
    <xf numFmtId="0" fontId="135" fillId="0" borderId="167" xfId="25" applyFont="1" applyBorder="1" applyAlignment="1">
      <alignment vertical="center"/>
    </xf>
    <xf numFmtId="0" fontId="135" fillId="0" borderId="0" xfId="25" applyFont="1" applyAlignment="1">
      <alignment vertical="center"/>
    </xf>
    <xf numFmtId="0" fontId="135" fillId="0" borderId="168" xfId="25" applyFont="1" applyBorder="1" applyAlignment="1">
      <alignment vertical="center"/>
    </xf>
    <xf numFmtId="0" fontId="134" fillId="0" borderId="168" xfId="25" applyBorder="1" applyAlignment="1">
      <alignment vertical="center"/>
    </xf>
    <xf numFmtId="0" fontId="134" fillId="0" borderId="161" xfId="25" applyBorder="1" applyAlignment="1">
      <alignment vertical="center"/>
    </xf>
    <xf numFmtId="0" fontId="134" fillId="0" borderId="158" xfId="25" applyBorder="1" applyAlignment="1">
      <alignment vertical="center"/>
    </xf>
    <xf numFmtId="0" fontId="134" fillId="0" borderId="162" xfId="25" applyBorder="1" applyAlignment="1">
      <alignment vertical="center"/>
    </xf>
    <xf numFmtId="0" fontId="134" fillId="0" borderId="166" xfId="25" applyBorder="1" applyAlignment="1">
      <alignment horizontal="right" vertical="center"/>
    </xf>
    <xf numFmtId="0" fontId="134" fillId="0" borderId="158" xfId="25" applyBorder="1" applyAlignment="1">
      <alignment horizontal="right" vertical="center"/>
    </xf>
    <xf numFmtId="179" fontId="138" fillId="29" borderId="87" xfId="25" applyNumberFormat="1" applyFont="1" applyFill="1" applyBorder="1" applyAlignment="1">
      <alignment horizontal="center" vertical="center"/>
    </xf>
    <xf numFmtId="180" fontId="138" fillId="29" borderId="87" xfId="25" applyNumberFormat="1" applyFont="1" applyFill="1" applyBorder="1" applyAlignment="1">
      <alignment horizontal="center" vertical="center"/>
    </xf>
    <xf numFmtId="0" fontId="138" fillId="29" borderId="87" xfId="25" applyFont="1" applyFill="1" applyBorder="1" applyAlignment="1">
      <alignment horizontal="center" vertical="center"/>
    </xf>
    <xf numFmtId="14" fontId="138" fillId="29" borderId="87" xfId="25" applyNumberFormat="1" applyFont="1" applyFill="1" applyBorder="1" applyAlignment="1">
      <alignment horizontal="center" vertical="center"/>
    </xf>
    <xf numFmtId="0" fontId="139" fillId="0" borderId="87" xfId="25" applyFont="1" applyBorder="1" applyAlignment="1">
      <alignment vertical="center"/>
    </xf>
    <xf numFmtId="3" fontId="139" fillId="0" borderId="87" xfId="25" applyNumberFormat="1" applyFont="1" applyBorder="1" applyAlignment="1">
      <alignment horizontal="center" vertical="center"/>
    </xf>
    <xf numFmtId="10" fontId="141" fillId="0" borderId="0" xfId="26" applyNumberFormat="1" applyFont="1" applyAlignment="1">
      <alignment vertical="center"/>
    </xf>
    <xf numFmtId="3" fontId="135" fillId="0" borderId="87" xfId="25" applyNumberFormat="1" applyFont="1" applyBorder="1" applyAlignment="1">
      <alignment horizontal="center" vertical="center"/>
    </xf>
    <xf numFmtId="1" fontId="139" fillId="0" borderId="87" xfId="25" applyNumberFormat="1" applyFont="1" applyBorder="1" applyAlignment="1">
      <alignment horizontal="center" vertical="center"/>
    </xf>
    <xf numFmtId="1" fontId="134" fillId="0" borderId="158" xfId="25" applyNumberFormat="1" applyBorder="1" applyAlignment="1">
      <alignment vertical="center"/>
    </xf>
    <xf numFmtId="1" fontId="134" fillId="0" borderId="162" xfId="25" applyNumberFormat="1" applyBorder="1" applyAlignment="1">
      <alignment vertical="center"/>
    </xf>
    <xf numFmtId="1" fontId="134" fillId="0" borderId="0" xfId="25" applyNumberFormat="1" applyAlignment="1">
      <alignment vertical="center"/>
    </xf>
    <xf numFmtId="0" fontId="141" fillId="0" borderId="166" xfId="25" applyFont="1" applyBorder="1" applyAlignment="1">
      <alignment vertical="center"/>
    </xf>
    <xf numFmtId="0" fontId="135" fillId="0" borderId="161" xfId="25" applyFont="1" applyBorder="1" applyAlignment="1">
      <alignment vertical="center"/>
    </xf>
    <xf numFmtId="0" fontId="135" fillId="0" borderId="158" xfId="25" applyFont="1" applyBorder="1" applyAlignment="1">
      <alignment vertical="center"/>
    </xf>
    <xf numFmtId="0" fontId="134" fillId="0" borderId="0" xfId="25"/>
    <xf numFmtId="0" fontId="13" fillId="10" borderId="20" xfId="0" applyFont="1" applyFill="1" applyBorder="1" applyAlignment="1">
      <alignment horizontal="center" vertical="center" wrapText="1"/>
    </xf>
    <xf numFmtId="0" fontId="13" fillId="10" borderId="5" xfId="0" applyFont="1" applyFill="1" applyBorder="1" applyAlignment="1">
      <alignment horizontal="center" vertical="center" wrapText="1"/>
    </xf>
    <xf numFmtId="0" fontId="14" fillId="10" borderId="5" xfId="0" applyFont="1" applyFill="1" applyBorder="1" applyAlignment="1">
      <alignment horizontal="center" vertical="center"/>
    </xf>
    <xf numFmtId="0" fontId="14" fillId="10" borderId="21" xfId="0" applyFont="1" applyFill="1" applyBorder="1" applyAlignment="1">
      <alignment horizontal="center" vertical="center"/>
    </xf>
    <xf numFmtId="0" fontId="13" fillId="10" borderId="18" xfId="0" applyFont="1" applyFill="1" applyBorder="1" applyAlignment="1">
      <alignment horizontal="center" vertical="center" textRotation="90"/>
    </xf>
    <xf numFmtId="0" fontId="13" fillId="10" borderId="28" xfId="0" applyFont="1" applyFill="1" applyBorder="1" applyAlignment="1">
      <alignment horizontal="center" vertical="center" textRotation="90"/>
    </xf>
    <xf numFmtId="0" fontId="13" fillId="10" borderId="17" xfId="0" applyFont="1" applyFill="1" applyBorder="1" applyAlignment="1">
      <alignment horizontal="center" vertical="center" wrapText="1"/>
    </xf>
    <xf numFmtId="0" fontId="13" fillId="10" borderId="27" xfId="0" applyFont="1" applyFill="1" applyBorder="1" applyAlignment="1">
      <alignment horizontal="center" vertical="center" wrapText="1"/>
    </xf>
    <xf numFmtId="0" fontId="13" fillId="10" borderId="17" xfId="0" applyFont="1" applyFill="1" applyBorder="1" applyAlignment="1">
      <alignment horizontal="center" vertical="center" textRotation="90"/>
    </xf>
    <xf numFmtId="0" fontId="13" fillId="10" borderId="27" xfId="0" applyFont="1" applyFill="1" applyBorder="1" applyAlignment="1">
      <alignment horizontal="center" vertical="center" textRotation="90"/>
    </xf>
    <xf numFmtId="0" fontId="9" fillId="9" borderId="6" xfId="0" applyFont="1" applyFill="1" applyBorder="1" applyAlignment="1">
      <alignment horizontal="center"/>
    </xf>
    <xf numFmtId="0" fontId="9" fillId="9" borderId="7" xfId="0" applyFont="1" applyFill="1" applyBorder="1" applyAlignment="1">
      <alignment horizontal="center"/>
    </xf>
    <xf numFmtId="0" fontId="10" fillId="0" borderId="9" xfId="5" applyFont="1" applyFill="1" applyBorder="1" applyAlignment="1">
      <alignment horizontal="left" indent="2"/>
    </xf>
    <xf numFmtId="14" fontId="12" fillId="0" borderId="11" xfId="0" applyNumberFormat="1" applyFont="1" applyBorder="1" applyAlignment="1">
      <alignment horizontal="left" vertical="top" indent="2"/>
    </xf>
    <xf numFmtId="0" fontId="12" fillId="0" borderId="11" xfId="0" applyNumberFormat="1" applyFont="1" applyBorder="1" applyAlignment="1">
      <alignment horizontal="left" vertical="top" indent="2"/>
    </xf>
    <xf numFmtId="0" fontId="12" fillId="0" borderId="0" xfId="0" applyNumberFormat="1" applyFont="1" applyBorder="1" applyAlignment="1">
      <alignment horizontal="left" vertical="top" indent="1"/>
    </xf>
    <xf numFmtId="0" fontId="12" fillId="0" borderId="7" xfId="0" applyNumberFormat="1" applyFont="1" applyBorder="1" applyAlignment="1">
      <alignment horizontal="left" vertical="top" indent="1"/>
    </xf>
    <xf numFmtId="0" fontId="12" fillId="0" borderId="13" xfId="0" applyFont="1" applyBorder="1" applyAlignment="1">
      <alignment horizontal="left" vertical="top" wrapText="1" indent="2"/>
    </xf>
    <xf numFmtId="0" fontId="12" fillId="0" borderId="14" xfId="0" applyFont="1" applyBorder="1" applyAlignment="1">
      <alignment horizontal="left" vertical="top" wrapText="1" indent="2"/>
    </xf>
    <xf numFmtId="0" fontId="12" fillId="0" borderId="4" xfId="0" applyFont="1" applyBorder="1" applyAlignment="1">
      <alignment horizontal="left" vertical="top" wrapText="1" indent="2"/>
    </xf>
    <xf numFmtId="0" fontId="12" fillId="0" borderId="15" xfId="0" applyFont="1" applyBorder="1" applyAlignment="1">
      <alignment horizontal="left" vertical="top" wrapText="1" indent="2"/>
    </xf>
    <xf numFmtId="14" fontId="12" fillId="0" borderId="6" xfId="0" applyNumberFormat="1" applyFont="1" applyBorder="1" applyAlignment="1">
      <alignment horizontal="left" indent="2"/>
    </xf>
    <xf numFmtId="0" fontId="12" fillId="0" borderId="0" xfId="0" applyNumberFormat="1" applyFont="1" applyBorder="1" applyAlignment="1">
      <alignment horizontal="left" indent="2"/>
    </xf>
    <xf numFmtId="0" fontId="12" fillId="0" borderId="7" xfId="0" applyNumberFormat="1" applyFont="1" applyBorder="1" applyAlignment="1">
      <alignment horizontal="left" indent="2"/>
    </xf>
    <xf numFmtId="0" fontId="13" fillId="10" borderId="16" xfId="0" applyFont="1" applyFill="1" applyBorder="1" applyAlignment="1">
      <alignment horizontal="center" vertical="center" wrapText="1"/>
    </xf>
    <xf numFmtId="0" fontId="13" fillId="10" borderId="23" xfId="0"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18"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3" fillId="10" borderId="19" xfId="0" applyFont="1" applyFill="1" applyBorder="1" applyAlignment="1">
      <alignment horizontal="center" vertical="center" wrapText="1"/>
    </xf>
    <xf numFmtId="0" fontId="13" fillId="10" borderId="26" xfId="0" applyFont="1" applyFill="1" applyBorder="1" applyAlignment="1">
      <alignment horizontal="center" vertical="center" wrapText="1"/>
    </xf>
    <xf numFmtId="0" fontId="13" fillId="10" borderId="17" xfId="0" applyFont="1" applyFill="1" applyBorder="1" applyAlignment="1">
      <alignment horizontal="center"/>
    </xf>
    <xf numFmtId="0" fontId="13" fillId="10" borderId="22" xfId="0" applyFont="1" applyFill="1" applyBorder="1" applyAlignment="1">
      <alignment horizontal="center"/>
    </xf>
    <xf numFmtId="49" fontId="10" fillId="0" borderId="47" xfId="5" applyNumberFormat="1" applyFont="1" applyFill="1" applyBorder="1" applyAlignment="1">
      <alignment horizontal="left" indent="2"/>
    </xf>
    <xf numFmtId="0" fontId="11" fillId="5" borderId="49" xfId="6" applyNumberFormat="1" applyBorder="1" applyAlignment="1">
      <alignment horizontal="left" vertical="top" indent="2"/>
    </xf>
    <xf numFmtId="0" fontId="11" fillId="5" borderId="49" xfId="6" applyNumberFormat="1" applyBorder="1" applyAlignment="1">
      <alignment horizontal="left" indent="2"/>
    </xf>
    <xf numFmtId="0" fontId="33" fillId="14" borderId="52" xfId="0" applyFont="1" applyFill="1" applyBorder="1" applyAlignment="1">
      <alignment horizontal="center" vertical="center" wrapText="1"/>
    </xf>
    <xf numFmtId="0" fontId="33" fillId="14" borderId="3" xfId="0" applyFont="1" applyFill="1" applyBorder="1" applyAlignment="1">
      <alignment horizontal="center" vertical="center" wrapText="1"/>
    </xf>
    <xf numFmtId="0" fontId="33" fillId="14" borderId="18" xfId="0" applyFont="1" applyFill="1" applyBorder="1" applyAlignment="1">
      <alignment horizontal="center" vertical="center" wrapText="1"/>
    </xf>
    <xf numFmtId="0" fontId="33" fillId="14" borderId="59" xfId="0" applyFont="1" applyFill="1" applyBorder="1" applyAlignment="1">
      <alignment horizontal="center" vertical="center" wrapText="1"/>
    </xf>
    <xf numFmtId="0" fontId="33" fillId="14" borderId="17" xfId="0" applyFont="1" applyFill="1" applyBorder="1" applyAlignment="1">
      <alignment horizontal="center" vertical="center" textRotation="90"/>
    </xf>
    <xf numFmtId="0" fontId="33" fillId="14" borderId="45" xfId="0" applyFont="1" applyFill="1" applyBorder="1" applyAlignment="1">
      <alignment horizontal="center" vertical="center" textRotation="90"/>
    </xf>
    <xf numFmtId="0" fontId="6" fillId="10" borderId="3" xfId="0" applyFont="1" applyFill="1" applyBorder="1" applyAlignment="1">
      <alignment horizontal="center"/>
    </xf>
    <xf numFmtId="0" fontId="6" fillId="10" borderId="4" xfId="0" applyFont="1" applyFill="1" applyBorder="1" applyAlignment="1">
      <alignment horizontal="center"/>
    </xf>
    <xf numFmtId="0" fontId="26" fillId="10" borderId="52" xfId="0" applyFont="1" applyFill="1" applyBorder="1" applyAlignment="1" applyProtection="1">
      <alignment horizontal="center" vertical="center"/>
      <protection locked="0"/>
    </xf>
    <xf numFmtId="0" fontId="26" fillId="10" borderId="5" xfId="0" applyFont="1" applyFill="1" applyBorder="1" applyAlignment="1" applyProtection="1">
      <alignment horizontal="center" vertical="center"/>
      <protection locked="0"/>
    </xf>
    <xf numFmtId="0" fontId="26" fillId="10" borderId="53" xfId="0" applyFont="1" applyFill="1" applyBorder="1" applyAlignment="1" applyProtection="1">
      <alignment horizontal="center" vertical="center"/>
      <protection locked="0"/>
    </xf>
    <xf numFmtId="0" fontId="27" fillId="13" borderId="0" xfId="0" applyFont="1" applyFill="1" applyAlignment="1" applyProtection="1">
      <alignment horizontal="right" vertical="center" wrapText="1"/>
      <protection locked="0"/>
    </xf>
    <xf numFmtId="0" fontId="28" fillId="14" borderId="55" xfId="0" applyFont="1" applyFill="1" applyBorder="1" applyAlignment="1" applyProtection="1">
      <alignment horizontal="left" vertical="center" wrapText="1"/>
      <protection locked="0"/>
    </xf>
    <xf numFmtId="0" fontId="27" fillId="13" borderId="0" xfId="0" applyFont="1" applyFill="1" applyAlignment="1" applyProtection="1">
      <alignment horizontal="right" vertical="center"/>
      <protection locked="0"/>
    </xf>
    <xf numFmtId="0" fontId="33" fillId="14" borderId="16" xfId="0" applyFont="1" applyFill="1" applyBorder="1" applyAlignment="1">
      <alignment horizontal="center"/>
    </xf>
    <xf numFmtId="0" fontId="33" fillId="14" borderId="17" xfId="0" applyFont="1" applyFill="1" applyBorder="1" applyAlignment="1">
      <alignment horizontal="center"/>
    </xf>
    <xf numFmtId="0" fontId="33" fillId="14" borderId="22" xfId="0" applyFont="1" applyFill="1" applyBorder="1" applyAlignment="1">
      <alignment horizontal="center"/>
    </xf>
    <xf numFmtId="0" fontId="33" fillId="14" borderId="17" xfId="0" applyFont="1" applyFill="1" applyBorder="1" applyAlignment="1">
      <alignment horizontal="center" vertical="center" wrapText="1"/>
    </xf>
    <xf numFmtId="0" fontId="33" fillId="14" borderId="45" xfId="0" applyFont="1" applyFill="1" applyBorder="1" applyAlignment="1">
      <alignment horizontal="center" vertical="center" wrapText="1"/>
    </xf>
    <xf numFmtId="0" fontId="33" fillId="14" borderId="19" xfId="0" applyFont="1" applyFill="1" applyBorder="1" applyAlignment="1">
      <alignment horizontal="center" vertical="center" wrapText="1"/>
    </xf>
    <xf numFmtId="0" fontId="33" fillId="14" borderId="57" xfId="0" applyFont="1" applyFill="1" applyBorder="1" applyAlignment="1">
      <alignment horizontal="center" vertical="center" wrapText="1"/>
    </xf>
    <xf numFmtId="0" fontId="33" fillId="14" borderId="58" xfId="0" applyFont="1" applyFill="1" applyBorder="1" applyAlignment="1">
      <alignment horizontal="center" vertical="center" wrapText="1"/>
    </xf>
    <xf numFmtId="0" fontId="33" fillId="14" borderId="18" xfId="0" applyFont="1" applyFill="1" applyBorder="1" applyAlignment="1">
      <alignment horizontal="center" vertical="center" textRotation="90"/>
    </xf>
    <xf numFmtId="0" fontId="33" fillId="14" borderId="59" xfId="0" applyFont="1" applyFill="1" applyBorder="1" applyAlignment="1">
      <alignment horizontal="center" vertical="center" textRotation="90"/>
    </xf>
    <xf numFmtId="0" fontId="33" fillId="14" borderId="22" xfId="0" applyFont="1" applyFill="1" applyBorder="1" applyAlignment="1">
      <alignment horizontal="center" vertical="center" wrapText="1"/>
    </xf>
    <xf numFmtId="0" fontId="33" fillId="14" borderId="60" xfId="0" applyFont="1" applyFill="1" applyBorder="1" applyAlignment="1">
      <alignment horizontal="center" vertical="center" wrapText="1"/>
    </xf>
    <xf numFmtId="0" fontId="37" fillId="0" borderId="72" xfId="8" applyFont="1" applyBorder="1" applyAlignment="1" applyProtection="1">
      <alignment horizontal="center" vertical="center"/>
      <protection locked="0"/>
    </xf>
    <xf numFmtId="0" fontId="37" fillId="0" borderId="66" xfId="8" applyFont="1" applyBorder="1" applyAlignment="1" applyProtection="1">
      <alignment horizontal="center" vertical="center"/>
      <protection locked="0"/>
    </xf>
    <xf numFmtId="0" fontId="37" fillId="0" borderId="73" xfId="8" applyFont="1" applyBorder="1" applyAlignment="1" applyProtection="1">
      <alignment horizontal="center" vertical="center"/>
      <protection locked="0"/>
    </xf>
    <xf numFmtId="0" fontId="35" fillId="13" borderId="68" xfId="8" quotePrefix="1" applyFont="1" applyFill="1" applyBorder="1" applyAlignment="1">
      <alignment horizontal="center"/>
    </xf>
    <xf numFmtId="0" fontId="35" fillId="13" borderId="54" xfId="8" quotePrefix="1" applyFont="1" applyFill="1" applyBorder="1" applyAlignment="1">
      <alignment horizontal="center"/>
    </xf>
    <xf numFmtId="0" fontId="35" fillId="13" borderId="69" xfId="8" quotePrefix="1" applyFont="1" applyFill="1" applyBorder="1" applyAlignment="1">
      <alignment horizontal="center"/>
    </xf>
    <xf numFmtId="0" fontId="35" fillId="13" borderId="68" xfId="8" applyFont="1" applyFill="1" applyBorder="1" applyAlignment="1">
      <alignment horizontal="center"/>
    </xf>
    <xf numFmtId="0" fontId="35" fillId="13" borderId="54" xfId="8" applyFont="1" applyFill="1" applyBorder="1" applyAlignment="1">
      <alignment horizontal="center"/>
    </xf>
    <xf numFmtId="0" fontId="35" fillId="13" borderId="69" xfId="8" applyFont="1" applyFill="1" applyBorder="1" applyAlignment="1">
      <alignment horizontal="center"/>
    </xf>
    <xf numFmtId="14" fontId="35" fillId="13" borderId="68" xfId="8" applyNumberFormat="1" applyFont="1" applyFill="1" applyBorder="1" applyAlignment="1">
      <alignment horizontal="center"/>
    </xf>
    <xf numFmtId="14" fontId="35" fillId="13" borderId="54" xfId="8" applyNumberFormat="1" applyFont="1" applyFill="1" applyBorder="1" applyAlignment="1">
      <alignment horizontal="center"/>
    </xf>
    <xf numFmtId="14" fontId="35" fillId="13" borderId="69" xfId="8" applyNumberFormat="1" applyFont="1" applyFill="1" applyBorder="1" applyAlignment="1">
      <alignment horizontal="center"/>
    </xf>
    <xf numFmtId="0" fontId="38" fillId="13" borderId="26" xfId="8" applyFont="1" applyFill="1" applyBorder="1" applyAlignment="1">
      <alignment horizontal="left"/>
    </xf>
    <xf numFmtId="0" fontId="38" fillId="13" borderId="64" xfId="8" applyFont="1" applyFill="1" applyBorder="1" applyAlignment="1">
      <alignment horizontal="left"/>
    </xf>
    <xf numFmtId="0" fontId="38" fillId="13" borderId="66" xfId="8" applyFont="1" applyFill="1" applyBorder="1" applyAlignment="1">
      <alignment horizontal="left"/>
    </xf>
    <xf numFmtId="0" fontId="38" fillId="13" borderId="68" xfId="8" applyFont="1" applyFill="1" applyBorder="1" applyAlignment="1">
      <alignment horizontal="left"/>
    </xf>
    <xf numFmtId="0" fontId="38" fillId="13" borderId="69" xfId="8" applyFont="1" applyFill="1" applyBorder="1" applyAlignment="1">
      <alignment horizontal="left"/>
    </xf>
    <xf numFmtId="0" fontId="38" fillId="13" borderId="54" xfId="8" applyFont="1" applyFill="1" applyBorder="1" applyAlignment="1">
      <alignment horizontal="left"/>
    </xf>
    <xf numFmtId="0" fontId="3" fillId="0" borderId="42" xfId="8" applyFont="1" applyBorder="1" applyAlignment="1" applyProtection="1">
      <alignment horizontal="center"/>
      <protection locked="0"/>
    </xf>
    <xf numFmtId="0" fontId="3" fillId="0" borderId="55" xfId="8" applyFont="1" applyBorder="1" applyAlignment="1" applyProtection="1">
      <alignment horizontal="center"/>
      <protection locked="0"/>
    </xf>
    <xf numFmtId="0" fontId="3" fillId="0" borderId="61" xfId="8" applyFont="1" applyBorder="1" applyAlignment="1" applyProtection="1">
      <alignment horizontal="center"/>
      <protection locked="0"/>
    </xf>
    <xf numFmtId="0" fontId="42" fillId="0" borderId="18" xfId="8" applyFont="1" applyBorder="1" applyAlignment="1">
      <alignment horizontal="center" vertical="center"/>
    </xf>
    <xf numFmtId="0" fontId="42" fillId="0" borderId="59" xfId="8" applyFont="1" applyBorder="1" applyAlignment="1">
      <alignment horizontal="center" vertical="center"/>
    </xf>
    <xf numFmtId="0" fontId="37" fillId="0" borderId="70" xfId="8" applyFont="1" applyBorder="1" applyAlignment="1" applyProtection="1">
      <alignment horizontal="center" vertical="center"/>
      <protection locked="0"/>
    </xf>
    <xf numFmtId="0" fontId="37" fillId="0" borderId="54" xfId="8" applyFont="1" applyBorder="1" applyAlignment="1" applyProtection="1">
      <alignment horizontal="center" vertical="center"/>
      <protection locked="0"/>
    </xf>
    <xf numFmtId="0" fontId="37" fillId="0" borderId="71" xfId="8" applyFont="1" applyBorder="1" applyAlignment="1" applyProtection="1">
      <alignment horizontal="center" vertical="center"/>
      <protection locked="0"/>
    </xf>
    <xf numFmtId="0" fontId="37" fillId="0" borderId="3" xfId="8" applyFont="1" applyBorder="1" applyAlignment="1" applyProtection="1">
      <alignment horizontal="center" vertical="center"/>
      <protection locked="0"/>
    </xf>
    <xf numFmtId="0" fontId="37" fillId="0" borderId="4" xfId="8" applyFont="1" applyBorder="1" applyAlignment="1" applyProtection="1">
      <alignment horizontal="center" vertical="center"/>
      <protection locked="0"/>
    </xf>
    <xf numFmtId="0" fontId="37" fillId="0" borderId="56" xfId="8" applyFont="1" applyBorder="1" applyAlignment="1" applyProtection="1">
      <alignment horizontal="center" vertical="center"/>
      <protection locked="0"/>
    </xf>
    <xf numFmtId="0" fontId="41" fillId="0" borderId="0" xfId="8" applyFont="1" applyAlignment="1" applyProtection="1">
      <alignment horizontal="center" vertical="center" wrapText="1"/>
      <protection locked="0"/>
    </xf>
    <xf numFmtId="0" fontId="41" fillId="0" borderId="54" xfId="8" applyFont="1" applyBorder="1" applyAlignment="1" applyProtection="1">
      <alignment horizontal="center" vertical="center" wrapText="1"/>
      <protection locked="0"/>
    </xf>
    <xf numFmtId="0" fontId="38" fillId="13" borderId="8" xfId="8" applyFont="1" applyFill="1" applyBorder="1" applyAlignment="1">
      <alignment horizontal="center" vertical="center" wrapText="1"/>
    </xf>
    <xf numFmtId="0" fontId="38" fillId="13" borderId="75" xfId="8" applyFont="1" applyFill="1" applyBorder="1" applyAlignment="1">
      <alignment horizontal="center" vertical="center" wrapText="1"/>
    </xf>
    <xf numFmtId="0" fontId="3" fillId="10" borderId="74" xfId="8" applyFont="1" applyFill="1" applyBorder="1" applyAlignment="1">
      <alignment horizontal="center"/>
    </xf>
    <xf numFmtId="0" fontId="3" fillId="10" borderId="76" xfId="8" applyFont="1" applyFill="1" applyBorder="1" applyAlignment="1">
      <alignment horizontal="center"/>
    </xf>
    <xf numFmtId="0" fontId="42" fillId="0" borderId="18" xfId="8" applyFont="1" applyBorder="1" applyAlignment="1">
      <alignment horizontal="center" vertical="center" wrapText="1"/>
    </xf>
    <xf numFmtId="0" fontId="42" fillId="0" borderId="59" xfId="8" applyFont="1" applyBorder="1" applyAlignment="1">
      <alignment horizontal="center" vertical="center" wrapText="1"/>
    </xf>
    <xf numFmtId="0" fontId="3" fillId="0" borderId="78" xfId="8" applyFont="1" applyBorder="1" applyAlignment="1">
      <alignment horizontal="center"/>
    </xf>
    <xf numFmtId="0" fontId="3" fillId="0" borderId="55" xfId="8" applyFont="1" applyBorder="1" applyAlignment="1">
      <alignment horizontal="center"/>
    </xf>
    <xf numFmtId="0" fontId="3" fillId="0" borderId="79" xfId="8" applyFont="1" applyBorder="1" applyAlignment="1">
      <alignment horizontal="center"/>
    </xf>
    <xf numFmtId="0" fontId="3" fillId="0" borderId="52" xfId="8" applyFont="1" applyBorder="1" applyAlignment="1">
      <alignment horizontal="center"/>
    </xf>
    <xf numFmtId="0" fontId="3" fillId="0" borderId="5" xfId="8" applyFont="1" applyBorder="1" applyAlignment="1">
      <alignment horizontal="center"/>
    </xf>
    <xf numFmtId="0" fontId="3" fillId="0" borderId="53" xfId="8" applyFont="1" applyBorder="1" applyAlignment="1">
      <alignment horizontal="center"/>
    </xf>
    <xf numFmtId="0" fontId="3" fillId="0" borderId="70" xfId="8" applyFont="1" applyBorder="1" applyAlignment="1">
      <alignment horizontal="center"/>
    </xf>
    <xf numFmtId="0" fontId="3" fillId="0" borderId="54" xfId="8" applyFont="1" applyBorder="1" applyAlignment="1">
      <alignment horizontal="center"/>
    </xf>
    <xf numFmtId="0" fontId="3" fillId="0" borderId="71" xfId="8" applyFont="1" applyBorder="1" applyAlignment="1">
      <alignment horizontal="center"/>
    </xf>
    <xf numFmtId="0" fontId="38" fillId="13" borderId="80" xfId="8" applyFont="1" applyFill="1" applyBorder="1" applyAlignment="1">
      <alignment horizontal="center" vertical="center" wrapText="1"/>
    </xf>
    <xf numFmtId="0" fontId="38" fillId="13" borderId="12" xfId="8" applyFont="1" applyFill="1" applyBorder="1" applyAlignment="1">
      <alignment horizontal="center" vertical="center" wrapText="1"/>
    </xf>
    <xf numFmtId="0" fontId="38" fillId="13" borderId="10" xfId="8" applyFont="1" applyFill="1" applyBorder="1" applyAlignment="1">
      <alignment horizontal="center" vertical="center" wrapText="1"/>
    </xf>
    <xf numFmtId="0" fontId="42" fillId="0" borderId="78" xfId="8" applyFont="1" applyBorder="1" applyAlignment="1">
      <alignment horizontal="center" vertical="center" wrapText="1"/>
    </xf>
    <xf numFmtId="0" fontId="42" fillId="0" borderId="55" xfId="8" applyFont="1" applyBorder="1" applyAlignment="1">
      <alignment horizontal="center" vertical="center" wrapText="1"/>
    </xf>
    <xf numFmtId="0" fontId="42" fillId="0" borderId="79" xfId="8" applyFont="1" applyBorder="1" applyAlignment="1">
      <alignment horizontal="center" vertical="center" wrapText="1"/>
    </xf>
    <xf numFmtId="0" fontId="37" fillId="0" borderId="44" xfId="8" applyFont="1" applyBorder="1" applyAlignment="1">
      <alignment horizontal="center" vertical="center"/>
    </xf>
    <xf numFmtId="0" fontId="37" fillId="0" borderId="15" xfId="8" applyFont="1" applyBorder="1" applyAlignment="1">
      <alignment horizontal="center" vertical="center"/>
    </xf>
    <xf numFmtId="0" fontId="3" fillId="0" borderId="13" xfId="8" applyFont="1" applyBorder="1" applyAlignment="1">
      <alignment horizontal="center"/>
    </xf>
    <xf numFmtId="0" fontId="3" fillId="0" borderId="14" xfId="8" applyFont="1" applyBorder="1" applyAlignment="1">
      <alignment horizontal="center"/>
    </xf>
    <xf numFmtId="0" fontId="3" fillId="0" borderId="15" xfId="8" applyFont="1" applyBorder="1" applyAlignment="1">
      <alignment horizontal="center"/>
    </xf>
    <xf numFmtId="0" fontId="3" fillId="0" borderId="0" xfId="8" applyFont="1" applyAlignment="1">
      <alignment horizontal="center" wrapText="1"/>
    </xf>
    <xf numFmtId="0" fontId="3" fillId="0" borderId="28" xfId="8" applyFont="1" applyBorder="1" applyAlignment="1">
      <alignment horizontal="center" wrapText="1"/>
    </xf>
    <xf numFmtId="0" fontId="3" fillId="10" borderId="24" xfId="8" applyFont="1" applyFill="1" applyBorder="1" applyAlignment="1">
      <alignment horizontal="center" wrapText="1"/>
    </xf>
    <xf numFmtId="0" fontId="3" fillId="10" borderId="42" xfId="8" applyFont="1" applyFill="1" applyBorder="1" applyAlignment="1">
      <alignment horizontal="left"/>
    </xf>
    <xf numFmtId="0" fontId="3" fillId="10" borderId="55" xfId="8" applyFont="1" applyFill="1" applyBorder="1" applyAlignment="1">
      <alignment horizontal="left"/>
    </xf>
    <xf numFmtId="0" fontId="3" fillId="10" borderId="61" xfId="8" applyFont="1" applyFill="1" applyBorder="1" applyAlignment="1">
      <alignment horizontal="left"/>
    </xf>
    <xf numFmtId="0" fontId="3" fillId="10" borderId="79" xfId="8" applyFont="1" applyFill="1" applyBorder="1" applyAlignment="1">
      <alignment horizontal="left"/>
    </xf>
    <xf numFmtId="0" fontId="3" fillId="10" borderId="81" xfId="8" applyFont="1" applyFill="1" applyBorder="1" applyAlignment="1">
      <alignment horizontal="left"/>
    </xf>
    <xf numFmtId="0" fontId="3" fillId="10" borderId="57" xfId="8" applyFont="1" applyFill="1" applyBorder="1" applyAlignment="1">
      <alignment horizontal="left"/>
    </xf>
    <xf numFmtId="0" fontId="3" fillId="10" borderId="58" xfId="8" applyFont="1" applyFill="1" applyBorder="1" applyAlignment="1">
      <alignment horizontal="left"/>
    </xf>
    <xf numFmtId="0" fontId="3" fillId="10" borderId="19" xfId="8" applyFont="1" applyFill="1" applyBorder="1" applyAlignment="1">
      <alignment horizontal="left"/>
    </xf>
    <xf numFmtId="0" fontId="3" fillId="10" borderId="82" xfId="8" applyFont="1" applyFill="1" applyBorder="1" applyAlignment="1">
      <alignment horizontal="left"/>
    </xf>
    <xf numFmtId="0" fontId="3" fillId="0" borderId="0" xfId="8" applyFont="1" applyAlignment="1">
      <alignment horizontal="center"/>
    </xf>
    <xf numFmtId="0" fontId="3" fillId="0" borderId="28" xfId="8" applyFont="1" applyBorder="1" applyAlignment="1">
      <alignment horizontal="center"/>
    </xf>
    <xf numFmtId="0" fontId="37" fillId="0" borderId="24" xfId="8" applyFont="1" applyBorder="1" applyAlignment="1">
      <alignment horizontal="center" vertical="center"/>
    </xf>
    <xf numFmtId="0" fontId="37" fillId="0" borderId="42" xfId="8" quotePrefix="1" applyFont="1" applyBorder="1" applyAlignment="1">
      <alignment horizontal="center" vertical="center"/>
    </xf>
    <xf numFmtId="0" fontId="37" fillId="0" borderId="55" xfId="8" applyFont="1" applyBorder="1" applyAlignment="1">
      <alignment horizontal="center" vertical="center"/>
    </xf>
    <xf numFmtId="0" fontId="37" fillId="0" borderId="61" xfId="8" applyFont="1" applyBorder="1" applyAlignment="1">
      <alignment horizontal="center" vertical="center"/>
    </xf>
    <xf numFmtId="14" fontId="37" fillId="0" borderId="42" xfId="8" applyNumberFormat="1" applyFont="1" applyBorder="1" applyAlignment="1">
      <alignment horizontal="center" vertical="center"/>
    </xf>
    <xf numFmtId="0" fontId="37" fillId="0" borderId="79" xfId="8" applyFont="1" applyBorder="1" applyAlignment="1">
      <alignment horizontal="center" vertical="center"/>
    </xf>
    <xf numFmtId="0" fontId="37" fillId="0" borderId="13" xfId="8" applyFont="1" applyBorder="1" applyAlignment="1">
      <alignment horizontal="center" vertical="center"/>
    </xf>
    <xf numFmtId="0" fontId="37" fillId="0" borderId="14" xfId="8" applyFont="1" applyBorder="1" applyAlignment="1">
      <alignment horizontal="center" vertical="center"/>
    </xf>
    <xf numFmtId="0" fontId="37" fillId="0" borderId="65" xfId="8" applyFont="1" applyBorder="1" applyAlignment="1">
      <alignment horizontal="center" vertical="center"/>
    </xf>
    <xf numFmtId="0" fontId="0" fillId="0" borderId="24" xfId="0" applyBorder="1" applyAlignment="1">
      <alignment horizontal="left" vertical="center"/>
    </xf>
    <xf numFmtId="0" fontId="0" fillId="0" borderId="74" xfId="0" applyBorder="1" applyAlignment="1">
      <alignment horizontal="left" vertical="center" indent="3"/>
    </xf>
    <xf numFmtId="0" fontId="0" fillId="0" borderId="18" xfId="0" applyBorder="1" applyAlignment="1">
      <alignment horizontal="left" vertical="center" indent="3"/>
    </xf>
    <xf numFmtId="0" fontId="0" fillId="0" borderId="83" xfId="0" applyBorder="1" applyAlignment="1">
      <alignment horizontal="left" vertical="center" indent="3"/>
    </xf>
    <xf numFmtId="0" fontId="5" fillId="0" borderId="17" xfId="0" applyFont="1" applyBorder="1" applyAlignment="1">
      <alignment horizontal="left" vertical="center"/>
    </xf>
    <xf numFmtId="0" fontId="0" fillId="0" borderId="17" xfId="0" applyBorder="1" applyAlignment="1">
      <alignment horizontal="left" vertical="center"/>
    </xf>
    <xf numFmtId="0" fontId="5" fillId="0" borderId="24" xfId="0" applyFont="1" applyBorder="1" applyAlignment="1">
      <alignment horizontal="left" vertical="center"/>
    </xf>
    <xf numFmtId="14" fontId="0" fillId="0" borderId="24" xfId="0" applyNumberFormat="1" applyBorder="1" applyAlignment="1">
      <alignment horizontal="center" vertical="center"/>
    </xf>
    <xf numFmtId="0" fontId="0" fillId="0" borderId="24" xfId="0" applyBorder="1" applyAlignment="1">
      <alignment horizontal="center" vertical="center"/>
    </xf>
    <xf numFmtId="0" fontId="0" fillId="0" borderId="33" xfId="0" applyBorder="1" applyAlignment="1">
      <alignment horizontal="center" vertical="center"/>
    </xf>
    <xf numFmtId="0" fontId="0" fillId="0" borderId="45" xfId="0" applyBorder="1" applyAlignment="1">
      <alignment horizontal="left" vertical="center"/>
    </xf>
    <xf numFmtId="0" fontId="0" fillId="0" borderId="16" xfId="0" applyBorder="1" applyAlignment="1">
      <alignment horizontal="center" vertical="center"/>
    </xf>
    <xf numFmtId="0" fontId="0" fillId="0" borderId="23" xfId="0" applyBorder="1" applyAlignment="1">
      <alignment horizontal="center" vertical="center"/>
    </xf>
    <xf numFmtId="0" fontId="0" fillId="0" borderId="43" xfId="0" applyBorder="1" applyAlignment="1">
      <alignment horizontal="center" vertical="center"/>
    </xf>
    <xf numFmtId="0" fontId="0" fillId="0" borderId="17" xfId="0" applyBorder="1" applyAlignment="1">
      <alignment horizontal="center" vertical="center" wrapText="1"/>
    </xf>
    <xf numFmtId="0" fontId="0" fillId="0" borderId="24" xfId="0" applyBorder="1" applyAlignment="1">
      <alignment horizontal="center" vertical="center" wrapText="1"/>
    </xf>
    <xf numFmtId="0" fontId="0" fillId="0" borderId="45" xfId="0" applyBorder="1" applyAlignment="1">
      <alignment horizontal="center" vertical="center" wrapText="1"/>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77" xfId="0" applyBorder="1" applyAlignment="1">
      <alignment horizontal="center" vertical="center"/>
    </xf>
    <xf numFmtId="0" fontId="0" fillId="0" borderId="59" xfId="0" applyBorder="1" applyAlignment="1">
      <alignment horizontal="center" vertical="center"/>
    </xf>
    <xf numFmtId="0" fontId="0" fillId="0" borderId="22" xfId="0" applyBorder="1" applyAlignment="1">
      <alignment horizontal="center" vertical="center"/>
    </xf>
    <xf numFmtId="0" fontId="0" fillId="0" borderId="60" xfId="0" applyBorder="1" applyAlignment="1">
      <alignment horizontal="center" vertical="center"/>
    </xf>
    <xf numFmtId="0" fontId="0" fillId="0" borderId="45" xfId="0" applyBorder="1" applyAlignment="1">
      <alignment horizontal="center" vertical="center"/>
    </xf>
    <xf numFmtId="0" fontId="53" fillId="0" borderId="32" xfId="9" applyFont="1" applyBorder="1" applyAlignment="1">
      <alignment horizontal="left" vertical="center" indent="1"/>
    </xf>
    <xf numFmtId="0" fontId="52" fillId="0" borderId="32" xfId="9" applyFont="1" applyBorder="1" applyAlignment="1">
      <alignment horizontal="center" vertical="center"/>
    </xf>
    <xf numFmtId="0" fontId="52" fillId="0" borderId="140" xfId="9" applyFont="1" applyBorder="1" applyAlignment="1">
      <alignment horizontal="left" vertical="center"/>
    </xf>
    <xf numFmtId="0" fontId="53" fillId="20" borderId="32" xfId="9" applyFont="1" applyFill="1" applyBorder="1" applyAlignment="1">
      <alignment horizontal="left" vertical="center" indent="1"/>
    </xf>
    <xf numFmtId="0" fontId="53" fillId="0" borderId="32" xfId="9" applyFont="1" applyBorder="1" applyAlignment="1">
      <alignment horizontal="center" vertical="center"/>
    </xf>
    <xf numFmtId="49" fontId="60" fillId="0" borderId="140" xfId="9" applyNumberFormat="1" applyFont="1" applyBorder="1" applyAlignment="1">
      <alignment horizontal="left" vertical="center"/>
    </xf>
    <xf numFmtId="49" fontId="53" fillId="0" borderId="140" xfId="9" applyNumberFormat="1" applyFont="1" applyBorder="1" applyAlignment="1">
      <alignment horizontal="left" vertical="center"/>
    </xf>
    <xf numFmtId="0" fontId="66" fillId="0" borderId="32" xfId="9" applyFont="1" applyBorder="1" applyAlignment="1">
      <alignment horizontal="left" vertical="center"/>
    </xf>
    <xf numFmtId="49" fontId="52" fillId="0" borderId="140" xfId="9" applyNumberFormat="1" applyFont="1" applyBorder="1" applyAlignment="1">
      <alignment horizontal="left" vertical="center"/>
    </xf>
    <xf numFmtId="0" fontId="66" fillId="0" borderId="41" xfId="9" applyFont="1" applyBorder="1" applyAlignment="1">
      <alignment horizontal="left" vertical="center"/>
    </xf>
    <xf numFmtId="0" fontId="66" fillId="0" borderId="41" xfId="9" applyFont="1" applyBorder="1" applyAlignment="1">
      <alignment horizontal="left" vertical="center" wrapText="1"/>
    </xf>
    <xf numFmtId="0" fontId="48" fillId="0" borderId="140" xfId="9" applyFont="1" applyBorder="1" applyAlignment="1">
      <alignment horizontal="left" vertical="center"/>
    </xf>
    <xf numFmtId="0" fontId="53" fillId="0" borderId="127" xfId="9" applyFont="1" applyBorder="1" applyAlignment="1">
      <alignment horizontal="left" vertical="center" indent="1"/>
    </xf>
    <xf numFmtId="0" fontId="53" fillId="0" borderId="41" xfId="9" applyFont="1" applyBorder="1" applyAlignment="1">
      <alignment horizontal="left" vertical="center" indent="1"/>
    </xf>
    <xf numFmtId="49" fontId="53" fillId="0" borderId="141" xfId="9" applyNumberFormat="1" applyFont="1" applyBorder="1" applyAlignment="1">
      <alignment horizontal="left" vertical="center"/>
    </xf>
    <xf numFmtId="49" fontId="53" fillId="0" borderId="140" xfId="9" applyNumberFormat="1" applyFont="1" applyBorder="1" applyAlignment="1">
      <alignment horizontal="left" vertical="center" wrapText="1"/>
    </xf>
    <xf numFmtId="0" fontId="66" fillId="0" borderId="36" xfId="9" applyFont="1" applyBorder="1" applyAlignment="1">
      <alignment horizontal="left" vertical="center"/>
    </xf>
    <xf numFmtId="0" fontId="53" fillId="0" borderId="32" xfId="9" applyFont="1" applyBorder="1" applyAlignment="1">
      <alignment horizontal="left" vertical="center" wrapText="1" indent="1"/>
    </xf>
    <xf numFmtId="0" fontId="64" fillId="0" borderId="39" xfId="9" applyFont="1" applyBorder="1" applyAlignment="1">
      <alignment horizontal="center"/>
    </xf>
    <xf numFmtId="0" fontId="63" fillId="0" borderId="35" xfId="9" applyFont="1" applyBorder="1" applyAlignment="1">
      <alignment horizontal="center"/>
    </xf>
    <xf numFmtId="0" fontId="63" fillId="0" borderId="138" xfId="9" applyFont="1" applyBorder="1" applyAlignment="1">
      <alignment horizontal="left"/>
    </xf>
    <xf numFmtId="0" fontId="53" fillId="0" borderId="130" xfId="9" applyFont="1" applyBorder="1" applyAlignment="1">
      <alignment horizontal="left" vertical="center"/>
    </xf>
    <xf numFmtId="0" fontId="53" fillId="0" borderId="131" xfId="9" applyFont="1" applyBorder="1" applyAlignment="1">
      <alignment horizontal="left" vertical="center"/>
    </xf>
    <xf numFmtId="0" fontId="53" fillId="0" borderId="132" xfId="9" applyFont="1" applyBorder="1" applyAlignment="1">
      <alignment horizontal="left" vertical="center"/>
    </xf>
    <xf numFmtId="0" fontId="53" fillId="0" borderId="0" xfId="9" applyFont="1" applyAlignment="1">
      <alignment horizontal="center"/>
    </xf>
    <xf numFmtId="0" fontId="60" fillId="0" borderId="92" xfId="9" applyFont="1" applyBorder="1" applyAlignment="1">
      <alignment horizontal="left" vertical="top"/>
    </xf>
    <xf numFmtId="0" fontId="63" fillId="0" borderId="136" xfId="9" applyFont="1" applyBorder="1" applyAlignment="1">
      <alignment horizontal="center"/>
    </xf>
    <xf numFmtId="0" fontId="63" fillId="0" borderId="91" xfId="9" applyFont="1" applyBorder="1"/>
    <xf numFmtId="0" fontId="52" fillId="0" borderId="127" xfId="9" applyFont="1" applyBorder="1" applyAlignment="1">
      <alignment horizontal="left" vertical="center"/>
    </xf>
    <xf numFmtId="0" fontId="53" fillId="0" borderId="126" xfId="9" applyFont="1" applyBorder="1" applyAlignment="1">
      <alignment horizontal="left" vertical="center"/>
    </xf>
    <xf numFmtId="0" fontId="53" fillId="0" borderId="128" xfId="9" applyFont="1" applyBorder="1" applyAlignment="1">
      <alignment horizontal="left" vertical="center"/>
    </xf>
    <xf numFmtId="49" fontId="53" fillId="0" borderId="126" xfId="9" applyNumberFormat="1" applyFont="1" applyBorder="1" applyAlignment="1">
      <alignment horizontal="left" vertical="center"/>
    </xf>
    <xf numFmtId="0" fontId="53" fillId="0" borderId="127" xfId="9" applyFont="1" applyBorder="1" applyAlignment="1">
      <alignment horizontal="left" vertical="center"/>
    </xf>
    <xf numFmtId="0" fontId="52" fillId="0" borderId="126" xfId="9" applyFont="1" applyBorder="1" applyAlignment="1">
      <alignment horizontal="left" vertical="center"/>
    </xf>
    <xf numFmtId="0" fontId="52" fillId="0" borderId="128" xfId="9" applyFont="1" applyBorder="1" applyAlignment="1">
      <alignment horizontal="left" vertical="center"/>
    </xf>
    <xf numFmtId="0" fontId="60" fillId="0" borderId="96" xfId="9" applyFont="1" applyBorder="1" applyAlignment="1">
      <alignment horizontal="left" vertical="center"/>
    </xf>
    <xf numFmtId="0" fontId="52" fillId="0" borderId="123" xfId="9" applyFont="1" applyBorder="1" applyAlignment="1">
      <alignment horizontal="left" vertical="center"/>
    </xf>
    <xf numFmtId="0" fontId="52" fillId="0" borderId="96" xfId="9" applyFont="1" applyBorder="1" applyAlignment="1">
      <alignment horizontal="left" vertical="center"/>
    </xf>
    <xf numFmtId="0" fontId="52" fillId="0" borderId="125" xfId="9" applyFont="1" applyBorder="1" applyAlignment="1">
      <alignment horizontal="left" vertical="center"/>
    </xf>
    <xf numFmtId="0" fontId="60" fillId="0" borderId="88" xfId="9" applyFont="1" applyBorder="1" applyAlignment="1">
      <alignment horizontal="left" vertical="center"/>
    </xf>
    <xf numFmtId="0" fontId="52" fillId="0" borderId="0" xfId="9" applyFont="1" applyAlignment="1">
      <alignment horizontal="center"/>
    </xf>
    <xf numFmtId="0" fontId="60" fillId="0" borderId="90" xfId="9" applyFont="1" applyBorder="1" applyAlignment="1">
      <alignment horizontal="center" vertical="center" wrapText="1"/>
    </xf>
    <xf numFmtId="0" fontId="61" fillId="0" borderId="119" xfId="9" applyFont="1" applyBorder="1" applyAlignment="1">
      <alignment horizontal="center" vertical="center"/>
    </xf>
    <xf numFmtId="0" fontId="60" fillId="0" borderId="121" xfId="9" applyFont="1" applyBorder="1" applyAlignment="1">
      <alignment horizontal="center" vertical="center"/>
    </xf>
    <xf numFmtId="0" fontId="60" fillId="0" borderId="121" xfId="9" applyFont="1" applyBorder="1" applyAlignment="1">
      <alignment vertical="center"/>
    </xf>
    <xf numFmtId="0" fontId="60" fillId="0" borderId="119" xfId="9" applyFont="1" applyBorder="1" applyAlignment="1">
      <alignment horizontal="center" vertical="center"/>
    </xf>
    <xf numFmtId="0" fontId="48" fillId="0" borderId="114" xfId="9" applyFont="1" applyBorder="1" applyAlignment="1">
      <alignment horizontal="left" vertical="center"/>
    </xf>
    <xf numFmtId="0" fontId="48" fillId="0" borderId="115" xfId="9" applyFont="1" applyBorder="1" applyAlignment="1">
      <alignment horizontal="left" vertical="center"/>
    </xf>
    <xf numFmtId="0" fontId="48" fillId="0" borderId="40" xfId="9" applyFont="1" applyBorder="1" applyAlignment="1">
      <alignment horizontal="left" vertical="center"/>
    </xf>
    <xf numFmtId="0" fontId="48" fillId="0" borderId="113" xfId="9" applyFont="1" applyBorder="1" applyAlignment="1">
      <alignment horizontal="left" vertical="center"/>
    </xf>
    <xf numFmtId="49" fontId="48" fillId="0" borderId="113" xfId="9" applyNumberFormat="1" applyFont="1" applyBorder="1" applyAlignment="1">
      <alignment horizontal="center" vertical="center"/>
    </xf>
    <xf numFmtId="49" fontId="48" fillId="0" borderId="40" xfId="9" applyNumberFormat="1" applyFont="1" applyBorder="1" applyAlignment="1">
      <alignment horizontal="center" vertical="center"/>
    </xf>
    <xf numFmtId="0" fontId="58" fillId="0" borderId="113" xfId="10" applyNumberFormat="1" applyFont="1" applyFill="1" applyBorder="1" applyAlignment="1" applyProtection="1">
      <alignment horizontal="left" vertical="center"/>
    </xf>
    <xf numFmtId="0" fontId="48" fillId="0" borderId="116" xfId="9" applyFont="1" applyBorder="1" applyAlignment="1">
      <alignment horizontal="left" vertical="center"/>
    </xf>
    <xf numFmtId="0" fontId="48" fillId="0" borderId="117" xfId="9" applyFont="1" applyBorder="1" applyAlignment="1">
      <alignment horizontal="left" vertical="center"/>
    </xf>
    <xf numFmtId="49" fontId="48" fillId="0" borderId="117" xfId="9" applyNumberFormat="1" applyFont="1" applyBorder="1" applyAlignment="1">
      <alignment horizontal="left" vertical="center"/>
    </xf>
    <xf numFmtId="0" fontId="48" fillId="0" borderId="118" xfId="9" applyFont="1" applyBorder="1" applyAlignment="1">
      <alignment horizontal="left" vertical="center"/>
    </xf>
    <xf numFmtId="0" fontId="48" fillId="0" borderId="41" xfId="9" applyFont="1" applyBorder="1" applyAlignment="1">
      <alignment horizontal="left" vertical="center"/>
    </xf>
    <xf numFmtId="0" fontId="48" fillId="0" borderId="32" xfId="9" applyFont="1" applyBorder="1" applyAlignment="1">
      <alignment horizontal="left" vertical="center"/>
    </xf>
    <xf numFmtId="49" fontId="48" fillId="0" borderId="32" xfId="9" applyNumberFormat="1" applyFont="1" applyBorder="1" applyAlignment="1">
      <alignment horizontal="left" vertical="center"/>
    </xf>
    <xf numFmtId="0" fontId="51" fillId="0" borderId="0" xfId="9" applyFont="1" applyAlignment="1">
      <alignment horizontal="center"/>
    </xf>
    <xf numFmtId="0" fontId="56" fillId="0" borderId="110" xfId="9" applyFont="1" applyBorder="1" applyAlignment="1">
      <alignment horizontal="center" vertical="top"/>
    </xf>
    <xf numFmtId="0" fontId="56" fillId="0" borderId="111" xfId="9" applyFont="1" applyBorder="1" applyAlignment="1">
      <alignment horizontal="center"/>
    </xf>
    <xf numFmtId="0" fontId="56" fillId="0" borderId="112" xfId="9" applyFont="1" applyBorder="1" applyAlignment="1">
      <alignment horizontal="center"/>
    </xf>
    <xf numFmtId="0" fontId="52" fillId="0" borderId="103" xfId="9" applyFont="1" applyBorder="1" applyAlignment="1">
      <alignment horizontal="left"/>
    </xf>
    <xf numFmtId="0" fontId="52" fillId="0" borderId="46" xfId="9" applyFont="1" applyBorder="1" applyAlignment="1">
      <alignment horizontal="left" vertical="top"/>
    </xf>
    <xf numFmtId="0" fontId="51" fillId="0" borderId="100" xfId="9" applyFont="1" applyBorder="1" applyAlignment="1">
      <alignment horizontal="left" vertical="center"/>
    </xf>
    <xf numFmtId="0" fontId="48" fillId="0" borderId="105" xfId="9" applyFont="1" applyBorder="1" applyAlignment="1">
      <alignment horizontal="center"/>
    </xf>
    <xf numFmtId="0" fontId="48" fillId="0" borderId="99" xfId="9" applyFont="1" applyBorder="1" applyAlignment="1">
      <alignment horizontal="left" vertical="center"/>
    </xf>
    <xf numFmtId="0" fontId="48" fillId="0" borderId="101" xfId="9" applyFont="1" applyBorder="1" applyAlignment="1">
      <alignment horizontal="left" vertical="center"/>
    </xf>
    <xf numFmtId="49" fontId="51" fillId="0" borderId="100" xfId="9" applyNumberFormat="1" applyFont="1" applyBorder="1" applyAlignment="1">
      <alignment horizontal="left" vertical="center"/>
    </xf>
    <xf numFmtId="0" fontId="49" fillId="0" borderId="90" xfId="9" applyFont="1" applyBorder="1" applyAlignment="1">
      <alignment horizontal="center" vertical="center" wrapText="1"/>
    </xf>
    <xf numFmtId="0" fontId="50" fillId="0" borderId="91" xfId="9" applyFont="1" applyBorder="1" applyAlignment="1">
      <alignment horizontal="center" vertical="center" wrapText="1"/>
    </xf>
    <xf numFmtId="0" fontId="51" fillId="0" borderId="92" xfId="9" applyFont="1" applyBorder="1" applyAlignment="1">
      <alignment horizontal="left" vertical="top"/>
    </xf>
    <xf numFmtId="0" fontId="48" fillId="0" borderId="92" xfId="9" applyFont="1" applyBorder="1" applyAlignment="1">
      <alignment vertical="top"/>
    </xf>
    <xf numFmtId="0" fontId="48" fillId="0" borderId="92" xfId="9" applyFont="1" applyBorder="1" applyAlignment="1">
      <alignment horizontal="center"/>
    </xf>
    <xf numFmtId="0" fontId="48" fillId="0" borderId="94" xfId="9" applyFont="1" applyBorder="1" applyAlignment="1">
      <alignment horizontal="left"/>
    </xf>
    <xf numFmtId="0" fontId="48" fillId="0" borderId="95" xfId="9" applyFont="1" applyBorder="1" applyAlignment="1">
      <alignment horizontal="left" vertical="center"/>
    </xf>
    <xf numFmtId="168" fontId="51" fillId="0" borderId="91" xfId="9" applyNumberFormat="1" applyFont="1" applyBorder="1" applyAlignment="1">
      <alignment horizontal="left" vertical="center"/>
    </xf>
    <xf numFmtId="0" fontId="51" fillId="0" borderId="96" xfId="9" applyFont="1" applyBorder="1" applyAlignment="1">
      <alignment horizontal="center"/>
    </xf>
    <xf numFmtId="0" fontId="70" fillId="0" borderId="0" xfId="9" applyFont="1" applyAlignment="1">
      <alignment horizontal="center" vertical="center"/>
    </xf>
    <xf numFmtId="0" fontId="71" fillId="0" borderId="135" xfId="9" applyFont="1" applyBorder="1" applyAlignment="1">
      <alignment horizontal="center"/>
    </xf>
    <xf numFmtId="0" fontId="75" fillId="0" borderId="0" xfId="9" applyFont="1" applyAlignment="1">
      <alignment horizontal="center" vertical="center"/>
    </xf>
    <xf numFmtId="0" fontId="76" fillId="0" borderId="9" xfId="9" applyFont="1" applyBorder="1" applyAlignment="1">
      <alignment horizontal="center"/>
    </xf>
    <xf numFmtId="0" fontId="46" fillId="0" borderId="41" xfId="9" applyFont="1" applyBorder="1" applyAlignment="1">
      <alignment horizontal="center" vertical="center"/>
    </xf>
    <xf numFmtId="0" fontId="46" fillId="17" borderId="32" xfId="9" applyFont="1" applyFill="1" applyBorder="1" applyAlignment="1">
      <alignment horizontal="center" vertical="center"/>
    </xf>
    <xf numFmtId="0" fontId="5" fillId="0" borderId="140" xfId="9" applyFont="1" applyBorder="1" applyAlignment="1">
      <alignment vertical="top" wrapText="1"/>
    </xf>
    <xf numFmtId="0" fontId="46" fillId="0" borderId="116" xfId="9" applyFont="1" applyBorder="1" applyAlignment="1">
      <alignment horizontal="center" vertical="center"/>
    </xf>
    <xf numFmtId="0" fontId="46" fillId="16" borderId="117" xfId="9" applyFont="1" applyFill="1" applyBorder="1" applyAlignment="1">
      <alignment horizontal="center" vertical="center"/>
    </xf>
    <xf numFmtId="0" fontId="5" fillId="0" borderId="143" xfId="9" applyFont="1" applyBorder="1" applyAlignment="1">
      <alignment vertical="top"/>
    </xf>
    <xf numFmtId="0" fontId="46" fillId="0" borderId="145" xfId="9" applyFont="1" applyBorder="1" applyAlignment="1">
      <alignment horizontal="center" vertical="top"/>
    </xf>
    <xf numFmtId="0" fontId="46" fillId="0" borderId="41" xfId="9" applyFont="1" applyBorder="1" applyAlignment="1">
      <alignment horizontal="center" vertical="top"/>
    </xf>
    <xf numFmtId="0" fontId="46" fillId="0" borderId="32" xfId="9" applyFont="1" applyBorder="1" applyAlignment="1">
      <alignment horizontal="center"/>
    </xf>
    <xf numFmtId="0" fontId="46" fillId="0" borderId="140" xfId="9" applyFont="1" applyBorder="1" applyAlignment="1">
      <alignment horizontal="center" vertical="top"/>
    </xf>
    <xf numFmtId="0" fontId="46" fillId="19" borderId="32" xfId="9" applyFont="1" applyFill="1" applyBorder="1" applyAlignment="1">
      <alignment horizontal="center" vertical="center"/>
    </xf>
    <xf numFmtId="49" fontId="79" fillId="20" borderId="38" xfId="5" applyNumberFormat="1" applyFont="1" applyFill="1" applyBorder="1" applyAlignment="1" applyProtection="1">
      <alignment horizontal="center" vertical="center" wrapText="1"/>
      <protection locked="0"/>
    </xf>
    <xf numFmtId="49" fontId="79" fillId="20" borderId="39" xfId="5" applyNumberFormat="1" applyFont="1" applyFill="1" applyBorder="1" applyAlignment="1" applyProtection="1">
      <alignment horizontal="center" vertical="center" wrapText="1"/>
      <protection locked="0"/>
    </xf>
    <xf numFmtId="49" fontId="86" fillId="20" borderId="113" xfId="5" applyNumberFormat="1" applyFont="1" applyFill="1" applyBorder="1" applyAlignment="1" applyProtection="1">
      <alignment horizontal="center" vertical="center" wrapText="1"/>
      <protection locked="0"/>
    </xf>
    <xf numFmtId="49" fontId="86" fillId="20" borderId="40" xfId="5" applyNumberFormat="1" applyFont="1" applyFill="1" applyBorder="1" applyAlignment="1" applyProtection="1">
      <alignment horizontal="center" vertical="center" wrapText="1"/>
      <protection locked="0"/>
    </xf>
    <xf numFmtId="0" fontId="85" fillId="20" borderId="84" xfId="5" applyFont="1" applyFill="1" applyBorder="1" applyAlignment="1">
      <alignment horizontal="center" vertical="center"/>
    </xf>
    <xf numFmtId="0" fontId="85" fillId="20" borderId="9" xfId="5" applyFont="1" applyFill="1" applyBorder="1" applyAlignment="1">
      <alignment horizontal="center" vertical="center"/>
    </xf>
    <xf numFmtId="0" fontId="85" fillId="20" borderId="146" xfId="5" applyFont="1" applyFill="1" applyBorder="1" applyAlignment="1">
      <alignment horizontal="center" vertical="center"/>
    </xf>
    <xf numFmtId="0" fontId="83" fillId="20" borderId="113" xfId="5" applyFont="1" applyFill="1" applyBorder="1" applyAlignment="1" applyProtection="1">
      <alignment horizontal="center" vertical="center" wrapText="1"/>
      <protection locked="0"/>
    </xf>
    <xf numFmtId="0" fontId="83" fillId="20" borderId="40" xfId="5" applyFont="1" applyFill="1" applyBorder="1" applyAlignment="1" applyProtection="1">
      <alignment horizontal="center" vertical="center" wrapText="1"/>
      <protection locked="0"/>
    </xf>
    <xf numFmtId="0" fontId="83" fillId="20" borderId="115" xfId="5" applyFont="1" applyFill="1" applyBorder="1" applyAlignment="1" applyProtection="1">
      <alignment horizontal="center" vertical="center" wrapText="1"/>
      <protection locked="0"/>
    </xf>
    <xf numFmtId="0" fontId="85" fillId="20" borderId="113" xfId="5" applyFont="1" applyFill="1" applyBorder="1" applyAlignment="1">
      <alignment horizontal="center" vertical="center"/>
    </xf>
    <xf numFmtId="0" fontId="85" fillId="20" borderId="115" xfId="5" applyFont="1" applyFill="1" applyBorder="1" applyAlignment="1">
      <alignment horizontal="center" vertical="center"/>
    </xf>
    <xf numFmtId="0" fontId="85" fillId="20" borderId="40" xfId="5" applyFont="1" applyFill="1" applyBorder="1" applyAlignment="1">
      <alignment horizontal="center" vertical="center"/>
    </xf>
    <xf numFmtId="0" fontId="85" fillId="20" borderId="113" xfId="5" applyFont="1" applyFill="1" applyBorder="1" applyAlignment="1">
      <alignment horizontal="center" vertical="center" wrapText="1"/>
    </xf>
    <xf numFmtId="0" fontId="85" fillId="20" borderId="40" xfId="5" applyFont="1" applyFill="1" applyBorder="1" applyAlignment="1">
      <alignment horizontal="center" vertical="center" wrapText="1"/>
    </xf>
    <xf numFmtId="0" fontId="79" fillId="20" borderId="38" xfId="5" applyFont="1" applyFill="1" applyBorder="1" applyAlignment="1" applyProtection="1">
      <alignment horizontal="center" vertical="center" wrapText="1"/>
      <protection locked="0"/>
    </xf>
    <xf numFmtId="0" fontId="79" fillId="20" borderId="39" xfId="5" applyFont="1" applyFill="1" applyBorder="1" applyAlignment="1" applyProtection="1">
      <alignment horizontal="center" vertical="center" wrapText="1"/>
      <protection locked="0"/>
    </xf>
    <xf numFmtId="0" fontId="86" fillId="20" borderId="113" xfId="5" applyFont="1" applyFill="1" applyBorder="1" applyAlignment="1" applyProtection="1">
      <alignment horizontal="center" vertical="center" wrapText="1"/>
      <protection locked="0"/>
    </xf>
    <xf numFmtId="0" fontId="86" fillId="20" borderId="40" xfId="5" applyFont="1" applyFill="1" applyBorder="1" applyAlignment="1" applyProtection="1">
      <alignment horizontal="center" vertical="center" wrapText="1"/>
      <protection locked="0"/>
    </xf>
    <xf numFmtId="0" fontId="86" fillId="20" borderId="32" xfId="5" applyFont="1" applyFill="1" applyBorder="1" applyAlignment="1" applyProtection="1">
      <alignment horizontal="center" vertical="center" wrapText="1"/>
      <protection locked="0"/>
    </xf>
    <xf numFmtId="0" fontId="83" fillId="20" borderId="113" xfId="5" applyFont="1" applyFill="1" applyBorder="1" applyAlignment="1">
      <alignment horizontal="center" vertical="center" wrapText="1"/>
    </xf>
    <xf numFmtId="0" fontId="83" fillId="20" borderId="40" xfId="5" applyFont="1" applyFill="1" applyBorder="1" applyAlignment="1">
      <alignment horizontal="center" vertical="center" wrapText="1"/>
    </xf>
    <xf numFmtId="49" fontId="79" fillId="20" borderId="35" xfId="5" applyNumberFormat="1" applyFont="1" applyFill="1" applyBorder="1" applyAlignment="1" applyProtection="1">
      <alignment horizontal="center" vertical="center" wrapText="1"/>
      <protection locked="0"/>
    </xf>
    <xf numFmtId="0" fontId="79" fillId="20" borderId="35" xfId="5" applyFont="1" applyFill="1" applyBorder="1" applyAlignment="1" applyProtection="1">
      <alignment horizontal="center" vertical="center" wrapText="1"/>
      <protection locked="0"/>
    </xf>
    <xf numFmtId="0" fontId="85" fillId="20" borderId="115" xfId="5" applyFont="1" applyFill="1" applyBorder="1" applyAlignment="1">
      <alignment horizontal="center" vertical="center" wrapText="1"/>
    </xf>
    <xf numFmtId="0" fontId="88" fillId="20" borderId="113" xfId="5" applyFont="1" applyFill="1" applyBorder="1" applyAlignment="1">
      <alignment horizontal="center" vertical="center" wrapText="1"/>
    </xf>
    <xf numFmtId="0" fontId="88" fillId="20" borderId="40" xfId="5" applyFont="1" applyFill="1" applyBorder="1" applyAlignment="1">
      <alignment horizontal="center" vertical="center" wrapText="1"/>
    </xf>
    <xf numFmtId="0" fontId="88" fillId="20" borderId="115" xfId="5" applyFont="1" applyFill="1" applyBorder="1" applyAlignment="1">
      <alignment horizontal="center" vertical="center" wrapText="1"/>
    </xf>
    <xf numFmtId="49" fontId="79" fillId="20" borderId="84" xfId="5" applyNumberFormat="1" applyFont="1" applyFill="1" applyBorder="1" applyAlignment="1" applyProtection="1">
      <alignment horizontal="center" vertical="center" wrapText="1"/>
      <protection locked="0"/>
    </xf>
    <xf numFmtId="49" fontId="79" fillId="20" borderId="88" xfId="5" applyNumberFormat="1" applyFont="1" applyFill="1" applyBorder="1" applyAlignment="1" applyProtection="1">
      <alignment horizontal="center" vertical="center" wrapText="1"/>
      <protection locked="0"/>
    </xf>
    <xf numFmtId="49" fontId="79" fillId="20" borderId="89" xfId="5" applyNumberFormat="1" applyFont="1" applyFill="1" applyBorder="1" applyAlignment="1" applyProtection="1">
      <alignment horizontal="center" vertical="center" wrapText="1"/>
      <protection locked="0"/>
    </xf>
    <xf numFmtId="0" fontId="88" fillId="20" borderId="113" xfId="5" applyFont="1" applyFill="1" applyBorder="1" applyAlignment="1">
      <alignment horizontal="center" vertical="center"/>
    </xf>
    <xf numFmtId="0" fontId="88" fillId="20" borderId="115" xfId="5" applyFont="1" applyFill="1" applyBorder="1" applyAlignment="1">
      <alignment horizontal="center" vertical="center"/>
    </xf>
    <xf numFmtId="0" fontId="88" fillId="20" borderId="40" xfId="5" applyFont="1" applyFill="1" applyBorder="1" applyAlignment="1">
      <alignment horizontal="center" vertical="center"/>
    </xf>
    <xf numFmtId="0" fontId="85" fillId="20" borderId="9" xfId="5" applyFont="1" applyFill="1" applyBorder="1" applyAlignment="1">
      <alignment horizontal="center" vertical="center" wrapText="1"/>
    </xf>
    <xf numFmtId="0" fontId="85" fillId="20" borderId="0" xfId="5" applyFont="1" applyFill="1" applyAlignment="1">
      <alignment horizontal="center" vertical="center" wrapText="1"/>
    </xf>
    <xf numFmtId="0" fontId="86" fillId="20" borderId="113" xfId="5" applyFont="1" applyFill="1" applyBorder="1" applyAlignment="1">
      <alignment horizontal="center" vertical="center" wrapText="1"/>
    </xf>
    <xf numFmtId="0" fontId="86" fillId="20" borderId="115" xfId="5" applyFont="1" applyFill="1" applyBorder="1" applyAlignment="1">
      <alignment horizontal="center" vertical="center" wrapText="1"/>
    </xf>
    <xf numFmtId="0" fontId="86" fillId="20" borderId="40" xfId="5" applyFont="1" applyFill="1" applyBorder="1" applyAlignment="1">
      <alignment horizontal="center" vertical="center" wrapText="1"/>
    </xf>
    <xf numFmtId="0" fontId="77" fillId="20" borderId="0" xfId="5" applyFont="1" applyFill="1" applyAlignment="1">
      <alignment horizontal="center" vertical="center"/>
    </xf>
    <xf numFmtId="0" fontId="85" fillId="20" borderId="32" xfId="5" applyFont="1" applyFill="1" applyBorder="1" applyAlignment="1">
      <alignment horizontal="center" wrapText="1"/>
    </xf>
    <xf numFmtId="0" fontId="85" fillId="20" borderId="32" xfId="5" applyFont="1" applyFill="1" applyBorder="1" applyAlignment="1">
      <alignment horizontal="center" vertical="center" wrapText="1"/>
    </xf>
    <xf numFmtId="0" fontId="85" fillId="20" borderId="84" xfId="5" applyFont="1" applyFill="1" applyBorder="1" applyAlignment="1">
      <alignment horizontal="center" vertical="center" wrapText="1"/>
    </xf>
    <xf numFmtId="0" fontId="85" fillId="20" borderId="88" xfId="5" applyFont="1" applyFill="1" applyBorder="1" applyAlignment="1">
      <alignment horizontal="center" vertical="center" wrapText="1"/>
    </xf>
    <xf numFmtId="0" fontId="85" fillId="20" borderId="89" xfId="5" applyFont="1" applyFill="1" applyBorder="1" applyAlignment="1">
      <alignment horizontal="center" vertical="center" wrapText="1"/>
    </xf>
    <xf numFmtId="0" fontId="86" fillId="20" borderId="115" xfId="5" applyFont="1" applyFill="1" applyBorder="1" applyAlignment="1">
      <alignment horizontal="center" wrapText="1"/>
    </xf>
    <xf numFmtId="0" fontId="85" fillId="20" borderId="47" xfId="5" applyFont="1" applyFill="1" applyBorder="1" applyAlignment="1">
      <alignment horizontal="center" vertical="center" wrapText="1"/>
    </xf>
    <xf numFmtId="0" fontId="5" fillId="0" borderId="42" xfId="12" applyBorder="1" applyAlignment="1">
      <alignment horizontal="center" vertical="center" wrapText="1"/>
    </xf>
    <xf numFmtId="0" fontId="5" fillId="0" borderId="55" xfId="12" applyBorder="1" applyAlignment="1">
      <alignment horizontal="center" vertical="center" wrapText="1"/>
    </xf>
    <xf numFmtId="0" fontId="5" fillId="0" borderId="61" xfId="12" applyBorder="1" applyAlignment="1">
      <alignment horizontal="center" vertical="center" wrapText="1"/>
    </xf>
    <xf numFmtId="0" fontId="5" fillId="0" borderId="0" xfId="12" applyAlignment="1">
      <alignment horizontal="center"/>
    </xf>
    <xf numFmtId="0" fontId="5" fillId="24" borderId="42" xfId="12" applyFill="1" applyBorder="1" applyAlignment="1">
      <alignment horizontal="center" vertical="center" wrapText="1"/>
    </xf>
    <xf numFmtId="0" fontId="5" fillId="24" borderId="55" xfId="12" applyFill="1" applyBorder="1" applyAlignment="1">
      <alignment horizontal="center" vertical="center" wrapText="1"/>
    </xf>
    <xf numFmtId="0" fontId="5" fillId="24" borderId="61" xfId="12" applyFill="1" applyBorder="1" applyAlignment="1">
      <alignment horizontal="center" vertical="center" wrapText="1"/>
    </xf>
    <xf numFmtId="0" fontId="99" fillId="0" borderId="24" xfId="13" applyFont="1" applyBorder="1" applyAlignment="1">
      <alignment horizontal="center" vertical="center"/>
    </xf>
    <xf numFmtId="14" fontId="99" fillId="0" borderId="24" xfId="13" applyNumberFormat="1" applyFont="1" applyBorder="1" applyAlignment="1">
      <alignment horizontal="center" vertical="center"/>
    </xf>
    <xf numFmtId="0" fontId="42" fillId="0" borderId="68" xfId="13" applyFont="1" applyBorder="1" applyAlignment="1">
      <alignment horizontal="center"/>
    </xf>
    <xf numFmtId="0" fontId="42" fillId="0" borderId="69" xfId="13" applyFont="1" applyBorder="1" applyAlignment="1">
      <alignment horizontal="center"/>
    </xf>
    <xf numFmtId="0" fontId="96" fillId="14" borderId="24" xfId="13" applyFont="1" applyFill="1" applyBorder="1" applyAlignment="1">
      <alignment horizontal="center" vertical="center" wrapText="1"/>
    </xf>
    <xf numFmtId="0" fontId="96" fillId="14" borderId="45" xfId="13" applyFont="1" applyFill="1" applyBorder="1" applyAlignment="1">
      <alignment horizontal="center" vertical="center"/>
    </xf>
    <xf numFmtId="0" fontId="96" fillId="14" borderId="33" xfId="13" applyFont="1" applyFill="1" applyBorder="1" applyAlignment="1">
      <alignment horizontal="center" vertical="center" wrapText="1"/>
    </xf>
    <xf numFmtId="0" fontId="96" fillId="14" borderId="60" xfId="13" applyFont="1" applyFill="1" applyBorder="1" applyAlignment="1">
      <alignment horizontal="center" vertical="center"/>
    </xf>
    <xf numFmtId="0" fontId="94" fillId="14" borderId="78" xfId="13" applyFont="1" applyFill="1" applyBorder="1" applyAlignment="1">
      <alignment horizontal="center" vertical="center"/>
    </xf>
    <xf numFmtId="0" fontId="94" fillId="14" borderId="55" xfId="13" applyFont="1" applyFill="1" applyBorder="1" applyAlignment="1">
      <alignment horizontal="center" vertical="center"/>
    </xf>
    <xf numFmtId="0" fontId="94" fillId="14" borderId="61" xfId="13" applyFont="1" applyFill="1" applyBorder="1" applyAlignment="1">
      <alignment horizontal="center" vertical="center"/>
    </xf>
    <xf numFmtId="0" fontId="94" fillId="14" borderId="42" xfId="13" applyFont="1" applyFill="1" applyBorder="1" applyAlignment="1">
      <alignment horizontal="center" vertical="center"/>
    </xf>
    <xf numFmtId="0" fontId="94" fillId="14" borderId="79" xfId="13" applyFont="1" applyFill="1" applyBorder="1" applyAlignment="1">
      <alignment horizontal="center" vertical="center"/>
    </xf>
    <xf numFmtId="0" fontId="97" fillId="14" borderId="44" xfId="13" applyFont="1" applyFill="1" applyBorder="1" applyAlignment="1">
      <alignment horizontal="center" vertical="center"/>
    </xf>
    <xf numFmtId="0" fontId="97" fillId="14" borderId="65" xfId="13" applyFont="1" applyFill="1" applyBorder="1" applyAlignment="1">
      <alignment horizontal="center" vertical="center"/>
    </xf>
    <xf numFmtId="0" fontId="97" fillId="14" borderId="14" xfId="13" applyFont="1" applyFill="1" applyBorder="1" applyAlignment="1">
      <alignment horizontal="center" vertical="center"/>
    </xf>
    <xf numFmtId="0" fontId="97" fillId="14" borderId="15" xfId="13" applyFont="1" applyFill="1" applyBorder="1" applyAlignment="1">
      <alignment horizontal="center" vertical="center"/>
    </xf>
    <xf numFmtId="0" fontId="93" fillId="14" borderId="52" xfId="13" applyFont="1" applyFill="1" applyBorder="1" applyAlignment="1">
      <alignment horizontal="center" vertical="center" wrapText="1"/>
    </xf>
    <xf numFmtId="0" fontId="93" fillId="14" borderId="53" xfId="13" applyFont="1" applyFill="1" applyBorder="1" applyAlignment="1">
      <alignment horizontal="center" vertical="center" wrapText="1"/>
    </xf>
    <xf numFmtId="0" fontId="93" fillId="14" borderId="6" xfId="13" applyFont="1" applyFill="1" applyBorder="1" applyAlignment="1">
      <alignment horizontal="center" vertical="center" wrapText="1"/>
    </xf>
    <xf numFmtId="0" fontId="93" fillId="14" borderId="7" xfId="13" applyFont="1" applyFill="1" applyBorder="1" applyAlignment="1">
      <alignment horizontal="center" vertical="center" wrapText="1"/>
    </xf>
    <xf numFmtId="0" fontId="94" fillId="14" borderId="8" xfId="13" applyFont="1" applyFill="1" applyBorder="1" applyAlignment="1">
      <alignment horizontal="center" vertical="center" wrapText="1"/>
    </xf>
    <xf numFmtId="0" fontId="94" fillId="14" borderId="49" xfId="13" applyFont="1" applyFill="1" applyBorder="1" applyAlignment="1">
      <alignment horizontal="center" vertical="center" wrapText="1"/>
    </xf>
    <xf numFmtId="0" fontId="94" fillId="14" borderId="151" xfId="13" applyFont="1" applyFill="1" applyBorder="1" applyAlignment="1">
      <alignment horizontal="center" vertical="center" wrapText="1"/>
    </xf>
    <xf numFmtId="0" fontId="94" fillId="14" borderId="52" xfId="13" applyFont="1" applyFill="1" applyBorder="1" applyAlignment="1">
      <alignment horizontal="center" vertical="center" wrapText="1"/>
    </xf>
    <xf numFmtId="0" fontId="94" fillId="14" borderId="5" xfId="13" applyFont="1" applyFill="1" applyBorder="1" applyAlignment="1">
      <alignment horizontal="center" vertical="center" wrapText="1"/>
    </xf>
    <xf numFmtId="0" fontId="94" fillId="14" borderId="53" xfId="13" applyFont="1" applyFill="1" applyBorder="1" applyAlignment="1">
      <alignment horizontal="center" vertical="center" wrapText="1"/>
    </xf>
    <xf numFmtId="0" fontId="94" fillId="14" borderId="70" xfId="13" applyFont="1" applyFill="1" applyBorder="1" applyAlignment="1">
      <alignment horizontal="center" vertical="center" wrapText="1"/>
    </xf>
    <xf numFmtId="0" fontId="94" fillId="14" borderId="54" xfId="13" applyFont="1" applyFill="1" applyBorder="1" applyAlignment="1">
      <alignment horizontal="center" vertical="center" wrapText="1"/>
    </xf>
    <xf numFmtId="0" fontId="94" fillId="14" borderId="71" xfId="13" applyFont="1" applyFill="1" applyBorder="1" applyAlignment="1">
      <alignment horizontal="center" vertical="center" wrapText="1"/>
    </xf>
    <xf numFmtId="0" fontId="95" fillId="14" borderId="8" xfId="13" applyFont="1" applyFill="1" applyBorder="1" applyAlignment="1">
      <alignment horizontal="center" vertical="center" wrapText="1"/>
    </xf>
    <xf numFmtId="0" fontId="95" fillId="14" borderId="49" xfId="13" applyFont="1" applyFill="1" applyBorder="1" applyAlignment="1">
      <alignment horizontal="center" vertical="center" wrapText="1"/>
    </xf>
    <xf numFmtId="0" fontId="95" fillId="14" borderId="151" xfId="13" applyFont="1" applyFill="1" applyBorder="1" applyAlignment="1">
      <alignment horizontal="center" vertical="center" wrapText="1"/>
    </xf>
    <xf numFmtId="0" fontId="94" fillId="14" borderId="5" xfId="13" applyFont="1" applyFill="1" applyBorder="1"/>
    <xf numFmtId="0" fontId="94" fillId="14" borderId="53" xfId="13" applyFont="1" applyFill="1" applyBorder="1"/>
    <xf numFmtId="0" fontId="94" fillId="14" borderId="70" xfId="13" applyFont="1" applyFill="1" applyBorder="1"/>
    <xf numFmtId="0" fontId="94" fillId="14" borderId="54" xfId="13" applyFont="1" applyFill="1" applyBorder="1"/>
    <xf numFmtId="0" fontId="94" fillId="14" borderId="71" xfId="13" applyFont="1" applyFill="1" applyBorder="1"/>
    <xf numFmtId="0" fontId="96" fillId="14" borderId="23" xfId="13" applyFont="1" applyFill="1" applyBorder="1" applyAlignment="1">
      <alignment horizontal="center" vertical="center" wrapText="1"/>
    </xf>
    <xf numFmtId="0" fontId="96" fillId="14" borderId="43" xfId="13" applyFont="1" applyFill="1" applyBorder="1" applyAlignment="1">
      <alignment horizontal="center" vertical="center"/>
    </xf>
    <xf numFmtId="0" fontId="2" fillId="0" borderId="52" xfId="13" applyBorder="1" applyAlignment="1">
      <alignment horizontal="center"/>
    </xf>
    <xf numFmtId="0" fontId="2" fillId="0" borderId="5" xfId="13" applyBorder="1" applyAlignment="1">
      <alignment horizontal="center"/>
    </xf>
    <xf numFmtId="0" fontId="2" fillId="0" borderId="21" xfId="13" applyBorder="1" applyAlignment="1">
      <alignment horizontal="center"/>
    </xf>
    <xf numFmtId="0" fontId="90" fillId="22" borderId="19" xfId="12" applyFont="1" applyFill="1" applyBorder="1" applyAlignment="1">
      <alignment horizontal="center" vertical="center"/>
    </xf>
    <xf numFmtId="0" fontId="90" fillId="22" borderId="57" xfId="12" applyFont="1" applyFill="1" applyBorder="1" applyAlignment="1">
      <alignment horizontal="center" vertical="center"/>
    </xf>
    <xf numFmtId="0" fontId="90" fillId="22" borderId="58" xfId="12" applyFont="1" applyFill="1" applyBorder="1" applyAlignment="1">
      <alignment horizontal="center" vertical="center"/>
    </xf>
    <xf numFmtId="0" fontId="90" fillId="22" borderId="82" xfId="12" applyFont="1" applyFill="1" applyBorder="1" applyAlignment="1">
      <alignment horizontal="center" vertical="center"/>
    </xf>
    <xf numFmtId="49" fontId="78" fillId="0" borderId="147" xfId="12" applyNumberFormat="1" applyFont="1" applyBorder="1" applyAlignment="1">
      <alignment horizontal="center" vertical="center"/>
    </xf>
    <xf numFmtId="49" fontId="78" fillId="0" borderId="148" xfId="12" applyNumberFormat="1" applyFont="1" applyBorder="1" applyAlignment="1">
      <alignment horizontal="center" vertical="center"/>
    </xf>
    <xf numFmtId="0" fontId="91" fillId="0" borderId="149" xfId="13" applyFont="1" applyBorder="1" applyAlignment="1">
      <alignment horizontal="center"/>
    </xf>
    <xf numFmtId="0" fontId="91" fillId="0" borderId="150" xfId="13" applyFont="1" applyBorder="1" applyAlignment="1">
      <alignment horizontal="center"/>
    </xf>
    <xf numFmtId="14" fontId="78" fillId="22" borderId="149" xfId="12" applyNumberFormat="1" applyFont="1" applyFill="1" applyBorder="1" applyAlignment="1">
      <alignment horizontal="center" vertical="center"/>
    </xf>
    <xf numFmtId="14" fontId="78" fillId="22" borderId="148" xfId="12" applyNumberFormat="1" applyFont="1" applyFill="1" applyBorder="1" applyAlignment="1">
      <alignment horizontal="center" vertical="center"/>
    </xf>
    <xf numFmtId="14" fontId="78" fillId="22" borderId="150" xfId="12" applyNumberFormat="1" applyFont="1" applyFill="1" applyBorder="1" applyAlignment="1">
      <alignment horizontal="center" vertical="center"/>
    </xf>
    <xf numFmtId="171" fontId="92" fillId="0" borderId="44" xfId="13" applyNumberFormat="1" applyFont="1" applyBorder="1" applyAlignment="1">
      <alignment horizontal="center" vertical="center"/>
    </xf>
    <xf numFmtId="171" fontId="92" fillId="0" borderId="14" xfId="13" applyNumberFormat="1" applyFont="1" applyBorder="1" applyAlignment="1">
      <alignment horizontal="center" vertical="center"/>
    </xf>
    <xf numFmtId="171" fontId="92" fillId="0" borderId="15" xfId="13" applyNumberFormat="1" applyFont="1" applyBorder="1" applyAlignment="1">
      <alignment horizontal="center" vertical="center"/>
    </xf>
    <xf numFmtId="0" fontId="96" fillId="14" borderId="62" xfId="13" applyFont="1" applyFill="1" applyBorder="1" applyAlignment="1">
      <alignment horizontal="center" vertical="center" wrapText="1"/>
    </xf>
    <xf numFmtId="0" fontId="94" fillId="14" borderId="152" xfId="13" applyFont="1" applyFill="1" applyBorder="1" applyAlignment="1">
      <alignment horizontal="center" vertical="center" wrapText="1"/>
    </xf>
    <xf numFmtId="0" fontId="94" fillId="14" borderId="153" xfId="13" applyFont="1" applyFill="1" applyBorder="1" applyAlignment="1">
      <alignment horizontal="center" vertical="center" wrapText="1"/>
    </xf>
    <xf numFmtId="0" fontId="94" fillId="14" borderId="154" xfId="13" applyFont="1" applyFill="1" applyBorder="1" applyAlignment="1">
      <alignment horizontal="center" vertical="center" wrapText="1"/>
    </xf>
    <xf numFmtId="0" fontId="96" fillId="14" borderId="157" xfId="13" applyFont="1" applyFill="1" applyBorder="1" applyAlignment="1">
      <alignment horizontal="center" vertical="center" wrapText="1"/>
    </xf>
    <xf numFmtId="0" fontId="96" fillId="14" borderId="25" xfId="13" applyFont="1" applyFill="1" applyBorder="1" applyAlignment="1">
      <alignment horizontal="center" vertical="center" wrapText="1"/>
    </xf>
    <xf numFmtId="0" fontId="44" fillId="14" borderId="52" xfId="0" applyFont="1" applyFill="1" applyBorder="1" applyAlignment="1">
      <alignment horizontal="center" vertical="center" wrapText="1"/>
    </xf>
    <xf numFmtId="0" fontId="44" fillId="14" borderId="53" xfId="0" applyFont="1" applyFill="1" applyBorder="1" applyAlignment="1">
      <alignment horizontal="center" vertical="center"/>
    </xf>
    <xf numFmtId="0" fontId="44" fillId="14" borderId="70" xfId="0" applyFont="1" applyFill="1" applyBorder="1" applyAlignment="1">
      <alignment horizontal="center" vertical="center"/>
    </xf>
    <xf numFmtId="0" fontId="44" fillId="14" borderId="71" xfId="0" applyFont="1" applyFill="1" applyBorder="1" applyAlignment="1">
      <alignment horizontal="center" vertical="center"/>
    </xf>
    <xf numFmtId="0" fontId="80" fillId="14" borderId="63" xfId="16" applyFont="1" applyFill="1" applyBorder="1" applyAlignment="1">
      <alignment horizontal="center" vertical="center" wrapText="1"/>
    </xf>
    <xf numFmtId="0" fontId="80" fillId="14" borderId="155" xfId="16" applyFont="1" applyFill="1" applyBorder="1" applyAlignment="1">
      <alignment horizontal="center" vertical="center" wrapText="1"/>
    </xf>
    <xf numFmtId="0" fontId="80" fillId="14" borderId="29" xfId="16" applyFont="1" applyFill="1" applyBorder="1" applyAlignment="1">
      <alignment horizontal="center" vertical="center" wrapText="1"/>
    </xf>
    <xf numFmtId="0" fontId="80" fillId="14" borderId="156" xfId="16" applyFont="1" applyFill="1" applyBorder="1" applyAlignment="1">
      <alignment horizontal="center" vertical="center" wrapText="1"/>
    </xf>
    <xf numFmtId="0" fontId="5" fillId="25" borderId="52" xfId="15" applyFont="1" applyFill="1" applyBorder="1" applyAlignment="1">
      <alignment horizontal="center" vertical="center"/>
    </xf>
    <xf numFmtId="0" fontId="102" fillId="25" borderId="5" xfId="15" applyFont="1" applyFill="1" applyBorder="1" applyAlignment="1">
      <alignment horizontal="center" vertical="center"/>
    </xf>
    <xf numFmtId="0" fontId="102" fillId="25" borderId="53" xfId="15" applyFont="1" applyFill="1" applyBorder="1" applyAlignment="1">
      <alignment horizontal="center" vertical="center"/>
    </xf>
    <xf numFmtId="0" fontId="102" fillId="25" borderId="152" xfId="15" applyFont="1" applyFill="1" applyBorder="1" applyAlignment="1">
      <alignment horizontal="center" vertical="center"/>
    </xf>
    <xf numFmtId="0" fontId="102" fillId="25" borderId="153" xfId="15" applyFont="1" applyFill="1" applyBorder="1" applyAlignment="1">
      <alignment horizontal="center" vertical="center"/>
    </xf>
    <xf numFmtId="0" fontId="102" fillId="25" borderId="154" xfId="15" applyFont="1" applyFill="1" applyBorder="1" applyAlignment="1">
      <alignment horizontal="center" vertical="center"/>
    </xf>
    <xf numFmtId="173" fontId="45" fillId="29" borderId="87" xfId="22" applyFont="1" applyFill="1" applyBorder="1" applyAlignment="1">
      <alignment horizontal="left" vertical="center"/>
    </xf>
    <xf numFmtId="173" fontId="99" fillId="0" borderId="167" xfId="22" applyFont="1" applyBorder="1" applyAlignment="1">
      <alignment horizontal="right"/>
    </xf>
    <xf numFmtId="0" fontId="126" fillId="0" borderId="166" xfId="23" applyBorder="1"/>
    <xf numFmtId="0" fontId="126" fillId="0" borderId="164" xfId="23" applyBorder="1"/>
    <xf numFmtId="0" fontId="126" fillId="0" borderId="158" xfId="23" applyBorder="1"/>
    <xf numFmtId="0" fontId="126" fillId="0" borderId="167" xfId="23" applyBorder="1"/>
    <xf numFmtId="0" fontId="126" fillId="0" borderId="0" xfId="23"/>
    <xf numFmtId="173" fontId="129" fillId="29" borderId="87" xfId="22" applyFont="1" applyFill="1" applyBorder="1" applyAlignment="1">
      <alignment horizontal="left" vertical="center"/>
    </xf>
    <xf numFmtId="0" fontId="126" fillId="0" borderId="160" xfId="23" applyBorder="1"/>
    <xf numFmtId="173" fontId="99" fillId="0" borderId="87" xfId="22" applyFont="1" applyBorder="1" applyAlignment="1">
      <alignment vertical="top" wrapText="1"/>
    </xf>
    <xf numFmtId="176" fontId="99" fillId="0" borderId="87" xfId="22" applyNumberFormat="1" applyFont="1" applyBorder="1" applyAlignment="1">
      <alignment vertical="top" wrapText="1"/>
    </xf>
    <xf numFmtId="0" fontId="126" fillId="0" borderId="87" xfId="23" applyBorder="1"/>
    <xf numFmtId="173" fontId="99" fillId="0" borderId="87" xfId="22" applyFont="1" applyBorder="1" applyAlignment="1">
      <alignment horizontal="left" vertical="top" wrapText="1"/>
    </xf>
    <xf numFmtId="178" fontId="99" fillId="0" borderId="87" xfId="22" applyNumberFormat="1" applyFont="1" applyBorder="1" applyAlignment="1">
      <alignment horizontal="left" vertical="top" wrapText="1"/>
    </xf>
    <xf numFmtId="173" fontId="99" fillId="0" borderId="87" xfId="22" applyFont="1" applyBorder="1"/>
    <xf numFmtId="173" fontId="99" fillId="0" borderId="87" xfId="22" applyFont="1" applyBorder="1" applyAlignment="1">
      <alignment horizontal="left"/>
    </xf>
    <xf numFmtId="173" fontId="99" fillId="0" borderId="163" xfId="22" applyFont="1" applyBorder="1" applyAlignment="1">
      <alignment horizontal="left" vertical="top" wrapText="1"/>
    </xf>
    <xf numFmtId="173" fontId="123" fillId="0" borderId="87" xfId="22" applyFont="1" applyBorder="1" applyAlignment="1">
      <alignment horizontal="left" vertical="center"/>
    </xf>
    <xf numFmtId="177" fontId="99" fillId="0" borderId="87" xfId="22" applyNumberFormat="1" applyFont="1" applyBorder="1" applyAlignment="1">
      <alignment horizontal="left" vertical="top" wrapText="1"/>
    </xf>
    <xf numFmtId="173" fontId="99" fillId="0" borderId="163" xfId="22" applyFont="1" applyBorder="1" applyAlignment="1">
      <alignment horizontal="left"/>
    </xf>
    <xf numFmtId="173" fontId="123" fillId="0" borderId="87" xfId="22" applyFont="1" applyBorder="1" applyAlignment="1">
      <alignment horizontal="left"/>
    </xf>
    <xf numFmtId="173" fontId="131" fillId="0" borderId="87" xfId="22" applyFont="1" applyBorder="1" applyAlignment="1">
      <alignment horizontal="left" wrapText="1"/>
    </xf>
    <xf numFmtId="173" fontId="132" fillId="0" borderId="87" xfId="22" applyFont="1" applyBorder="1" applyAlignment="1">
      <alignment horizontal="left" vertical="top"/>
    </xf>
    <xf numFmtId="173" fontId="129" fillId="29" borderId="87" xfId="22" applyFont="1" applyFill="1" applyBorder="1" applyAlignment="1">
      <alignment horizontal="left" vertical="center" wrapText="1"/>
    </xf>
    <xf numFmtId="173" fontId="123" fillId="0" borderId="161" xfId="22" applyFont="1" applyBorder="1" applyAlignment="1">
      <alignment horizontal="left"/>
    </xf>
    <xf numFmtId="173" fontId="99" fillId="0" borderId="162" xfId="22" applyFont="1" applyBorder="1" applyAlignment="1">
      <alignment horizontal="right"/>
    </xf>
    <xf numFmtId="173" fontId="99" fillId="0" borderId="163" xfId="22" applyFont="1" applyBorder="1" applyAlignment="1">
      <alignment horizontal="center" wrapText="1"/>
    </xf>
    <xf numFmtId="173" fontId="132" fillId="0" borderId="87" xfId="22" applyFont="1" applyBorder="1" applyAlignment="1">
      <alignment horizontal="center"/>
    </xf>
    <xf numFmtId="173" fontId="132" fillId="0" borderId="87" xfId="22" applyFont="1" applyBorder="1" applyAlignment="1">
      <alignment horizontal="left" vertical="top" wrapText="1"/>
    </xf>
    <xf numFmtId="173" fontId="123" fillId="0" borderId="85" xfId="22" applyFont="1" applyBorder="1" applyAlignment="1">
      <alignment horizontal="left" vertical="top" wrapText="1"/>
    </xf>
    <xf numFmtId="173" fontId="131" fillId="0" borderId="87" xfId="22" applyFont="1" applyBorder="1" applyAlignment="1">
      <alignment horizontal="center" vertical="center"/>
    </xf>
    <xf numFmtId="173" fontId="129" fillId="29" borderId="85" xfId="22" applyFont="1" applyFill="1" applyBorder="1" applyAlignment="1">
      <alignment horizontal="left" vertical="center"/>
    </xf>
    <xf numFmtId="173" fontId="123" fillId="0" borderId="87" xfId="22" applyFont="1" applyBorder="1" applyAlignment="1">
      <alignment horizontal="right" vertical="top"/>
    </xf>
    <xf numFmtId="175" fontId="128" fillId="0" borderId="87" xfId="22" applyNumberFormat="1" applyFont="1" applyBorder="1" applyAlignment="1">
      <alignment horizontal="left" vertical="top" wrapText="1"/>
    </xf>
    <xf numFmtId="173" fontId="128" fillId="0" borderId="87" xfId="22" applyFont="1" applyBorder="1" applyAlignment="1">
      <alignment horizontal="left" vertical="top" wrapText="1"/>
    </xf>
    <xf numFmtId="173" fontId="123" fillId="0" borderId="160" xfId="22" applyFont="1" applyBorder="1" applyAlignment="1">
      <alignment horizontal="right" vertical="top"/>
    </xf>
    <xf numFmtId="173" fontId="124" fillId="28" borderId="0" xfId="22" applyFont="1" applyFill="1" applyAlignment="1">
      <alignment horizontal="center"/>
    </xf>
    <xf numFmtId="0" fontId="126" fillId="28" borderId="0" xfId="23" applyFill="1"/>
    <xf numFmtId="174" fontId="128" fillId="28" borderId="158" xfId="22" applyNumberFormat="1" applyFont="1" applyFill="1" applyBorder="1" applyAlignment="1">
      <alignment horizontal="left"/>
    </xf>
    <xf numFmtId="174" fontId="128" fillId="28" borderId="159" xfId="22" applyNumberFormat="1" applyFont="1" applyFill="1" applyBorder="1" applyAlignment="1">
      <alignment horizontal="left"/>
    </xf>
    <xf numFmtId="0" fontId="126" fillId="28" borderId="158" xfId="23" applyFill="1" applyBorder="1"/>
    <xf numFmtId="0" fontId="126" fillId="28" borderId="159" xfId="23" applyFill="1" applyBorder="1"/>
    <xf numFmtId="0" fontId="134" fillId="0" borderId="167" xfId="25" applyBorder="1"/>
    <xf numFmtId="0" fontId="135" fillId="0" borderId="87" xfId="25" applyFont="1" applyBorder="1" applyAlignment="1">
      <alignment horizontal="left" vertical="center"/>
    </xf>
    <xf numFmtId="0" fontId="134" fillId="0" borderId="160" xfId="25" applyBorder="1"/>
    <xf numFmtId="0" fontId="134" fillId="0" borderId="162" xfId="25" applyBorder="1"/>
    <xf numFmtId="0" fontId="134" fillId="0" borderId="170" xfId="25" applyBorder="1"/>
    <xf numFmtId="0" fontId="135" fillId="0" borderId="87" xfId="25" applyFont="1" applyBorder="1" applyAlignment="1">
      <alignment horizontal="center" vertical="center"/>
    </xf>
    <xf numFmtId="1" fontId="135" fillId="0" borderId="87" xfId="25" applyNumberFormat="1" applyFont="1" applyBorder="1" applyAlignment="1">
      <alignment horizontal="center" vertical="center"/>
    </xf>
    <xf numFmtId="0" fontId="134" fillId="0" borderId="165" xfId="25" applyBorder="1"/>
    <xf numFmtId="0" fontId="136" fillId="0" borderId="0" xfId="25" applyFont="1" applyAlignment="1">
      <alignment horizontal="center" vertical="center"/>
    </xf>
    <xf numFmtId="0" fontId="137" fillId="0" borderId="87" xfId="25" applyFont="1" applyBorder="1" applyAlignment="1">
      <alignment horizontal="center" vertical="center"/>
    </xf>
    <xf numFmtId="49" fontId="138" fillId="0" borderId="166" xfId="25" applyNumberFormat="1" applyFont="1" applyBorder="1" applyAlignment="1" applyProtection="1">
      <alignment horizontal="left" vertical="center"/>
      <protection locked="0"/>
    </xf>
    <xf numFmtId="0" fontId="138" fillId="0" borderId="158" xfId="25" applyFont="1" applyBorder="1" applyAlignment="1" applyProtection="1">
      <alignment horizontal="left" vertical="center"/>
      <protection locked="0"/>
    </xf>
    <xf numFmtId="49" fontId="138" fillId="0" borderId="158" xfId="25" applyNumberFormat="1" applyFont="1" applyBorder="1" applyAlignment="1" applyProtection="1">
      <alignment horizontal="left" vertical="center" wrapText="1"/>
      <protection locked="0"/>
    </xf>
    <xf numFmtId="9" fontId="138" fillId="0" borderId="158" xfId="25" applyNumberFormat="1" applyFont="1" applyBorder="1" applyAlignment="1">
      <alignment horizontal="left" vertical="center" shrinkToFit="1"/>
    </xf>
    <xf numFmtId="49" fontId="78" fillId="0" borderId="171" xfId="12" applyNumberFormat="1" applyFont="1" applyBorder="1" applyAlignment="1">
      <alignment horizontal="center" vertical="center"/>
    </xf>
    <xf numFmtId="49" fontId="78" fillId="0" borderId="172" xfId="12" applyNumberFormat="1" applyFont="1" applyBorder="1" applyAlignment="1">
      <alignment horizontal="center" vertical="center"/>
    </xf>
    <xf numFmtId="49" fontId="78" fillId="0" borderId="173" xfId="12" applyNumberFormat="1" applyFont="1" applyBorder="1" applyAlignment="1">
      <alignment horizontal="center" vertical="center"/>
    </xf>
    <xf numFmtId="14" fontId="78" fillId="22" borderId="174" xfId="12" applyNumberFormat="1" applyFont="1" applyFill="1" applyBorder="1" applyAlignment="1">
      <alignment horizontal="center" vertical="center"/>
    </xf>
    <xf numFmtId="14" fontId="78" fillId="22" borderId="172" xfId="12" applyNumberFormat="1" applyFont="1" applyFill="1" applyBorder="1" applyAlignment="1">
      <alignment horizontal="center" vertical="center"/>
    </xf>
    <xf numFmtId="49" fontId="15" fillId="0" borderId="30" xfId="5" applyNumberFormat="1" applyFont="1" applyFill="1" applyBorder="1" applyAlignment="1">
      <alignment vertical="center"/>
    </xf>
    <xf numFmtId="0" fontId="16" fillId="0" borderId="31" xfId="5" applyFont="1" applyFill="1" applyBorder="1" applyAlignment="1">
      <alignment vertical="center" wrapText="1"/>
    </xf>
    <xf numFmtId="0" fontId="4" fillId="13" borderId="2" xfId="4" applyFill="1" applyBorder="1" applyAlignment="1" applyProtection="1">
      <alignment horizontal="center" vertical="center"/>
    </xf>
    <xf numFmtId="0" fontId="0" fillId="13" borderId="2" xfId="0" applyFill="1" applyBorder="1"/>
    <xf numFmtId="0" fontId="6" fillId="13" borderId="3" xfId="0" applyFont="1" applyFill="1" applyBorder="1" applyAlignment="1">
      <alignment horizontal="center"/>
    </xf>
    <xf numFmtId="0" fontId="6" fillId="13" borderId="4" xfId="0" applyFont="1" applyFill="1" applyBorder="1" applyAlignment="1">
      <alignment horizontal="center"/>
    </xf>
    <xf numFmtId="0" fontId="8" fillId="13" borderId="50" xfId="1" applyFont="1" applyFill="1" applyBorder="1" applyAlignment="1">
      <alignment horizontal="left" vertical="center" wrapText="1"/>
    </xf>
    <xf numFmtId="0" fontId="8" fillId="13" borderId="2" xfId="1" applyFont="1" applyFill="1" applyBorder="1" applyAlignment="1">
      <alignment horizontal="left" vertical="center" wrapText="1"/>
    </xf>
    <xf numFmtId="0" fontId="8" fillId="13" borderId="51" xfId="1" applyFont="1" applyFill="1" applyBorder="1" applyAlignment="1">
      <alignment horizontal="left" vertical="center" wrapText="1"/>
    </xf>
    <xf numFmtId="0" fontId="8" fillId="13" borderId="50" xfId="1" applyFont="1" applyFill="1" applyBorder="1" applyAlignment="1">
      <alignment horizontal="center" vertical="center" wrapText="1"/>
    </xf>
    <xf numFmtId="0" fontId="8" fillId="13" borderId="2" xfId="1" applyFont="1" applyFill="1" applyBorder="1" applyAlignment="1">
      <alignment horizontal="center" vertical="center" wrapText="1"/>
    </xf>
    <xf numFmtId="0" fontId="8" fillId="13" borderId="51" xfId="1" applyFont="1" applyFill="1" applyBorder="1" applyAlignment="1">
      <alignment horizontal="center" vertical="center" wrapText="1"/>
    </xf>
    <xf numFmtId="0" fontId="6" fillId="13" borderId="3"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153" xfId="0" applyFont="1" applyFill="1" applyBorder="1" applyAlignment="1">
      <alignment horizontal="center" vertical="center"/>
    </xf>
    <xf numFmtId="0" fontId="13" fillId="10" borderId="25" xfId="0" applyFont="1" applyFill="1" applyBorder="1" applyAlignment="1">
      <alignment horizontal="center" vertical="center" textRotation="90"/>
    </xf>
    <xf numFmtId="0" fontId="13" fillId="10" borderId="21" xfId="0" applyFont="1" applyFill="1" applyBorder="1" applyAlignment="1">
      <alignment horizontal="center" vertical="center" wrapText="1"/>
    </xf>
    <xf numFmtId="0" fontId="13" fillId="10" borderId="175" xfId="0" applyFont="1" applyFill="1" applyBorder="1" applyAlignment="1">
      <alignment horizontal="center" vertical="center" wrapText="1"/>
    </xf>
    <xf numFmtId="0" fontId="13" fillId="10" borderId="175" xfId="0" applyFont="1" applyFill="1" applyBorder="1" applyAlignment="1">
      <alignment horizontal="center" vertical="center" textRotation="90"/>
    </xf>
    <xf numFmtId="0" fontId="13" fillId="10" borderId="81" xfId="0" applyFont="1" applyFill="1" applyBorder="1" applyAlignment="1">
      <alignment horizontal="center"/>
    </xf>
    <xf numFmtId="0" fontId="13" fillId="10" borderId="57" xfId="0" applyFont="1" applyFill="1" applyBorder="1" applyAlignment="1">
      <alignment horizontal="center"/>
    </xf>
    <xf numFmtId="0" fontId="13" fillId="10" borderId="82" xfId="0" applyFont="1" applyFill="1" applyBorder="1" applyAlignment="1">
      <alignment horizontal="center"/>
    </xf>
    <xf numFmtId="0" fontId="13" fillId="10" borderId="74" xfId="0" applyFont="1" applyFill="1" applyBorder="1" applyAlignment="1">
      <alignment horizontal="center" vertical="center" wrapText="1"/>
    </xf>
    <xf numFmtId="0" fontId="13" fillId="10" borderId="157" xfId="0" applyFont="1" applyFill="1" applyBorder="1" applyAlignment="1">
      <alignment horizontal="center" vertical="center" wrapText="1"/>
    </xf>
    <xf numFmtId="14" fontId="12" fillId="0" borderId="152" xfId="0" applyNumberFormat="1" applyFont="1" applyBorder="1" applyAlignment="1">
      <alignment horizontal="left" indent="2"/>
    </xf>
    <xf numFmtId="14" fontId="12" fillId="0" borderId="153" xfId="0" applyNumberFormat="1" applyFont="1" applyBorder="1" applyAlignment="1">
      <alignment horizontal="left" indent="2"/>
    </xf>
    <xf numFmtId="14" fontId="12" fillId="0" borderId="154" xfId="0" applyNumberFormat="1" applyFont="1" applyBorder="1" applyAlignment="1">
      <alignment horizontal="left" indent="2"/>
    </xf>
    <xf numFmtId="0" fontId="12" fillId="0" borderId="152" xfId="0" applyFont="1" applyBorder="1" applyAlignment="1">
      <alignment horizontal="left" vertical="top" wrapText="1" indent="2"/>
    </xf>
    <xf numFmtId="0" fontId="12" fillId="0" borderId="153" xfId="0" applyFont="1" applyBorder="1" applyAlignment="1">
      <alignment horizontal="left" vertical="top" wrapText="1" indent="2"/>
    </xf>
    <xf numFmtId="0" fontId="12" fillId="0" borderId="154" xfId="0" applyFont="1" applyBorder="1" applyAlignment="1">
      <alignment horizontal="left" vertical="top" wrapText="1" indent="2"/>
    </xf>
    <xf numFmtId="0" fontId="9" fillId="9" borderId="152" xfId="0" applyFont="1" applyFill="1" applyBorder="1" applyAlignment="1">
      <alignment horizontal="center"/>
    </xf>
    <xf numFmtId="0" fontId="9" fillId="9" borderId="154" xfId="0" applyFont="1" applyFill="1" applyBorder="1" applyAlignment="1">
      <alignment horizontal="center"/>
    </xf>
    <xf numFmtId="0" fontId="12" fillId="0" borderId="6" xfId="0" applyNumberFormat="1" applyFont="1" applyBorder="1" applyAlignment="1">
      <alignment horizontal="left" vertical="top" indent="1"/>
    </xf>
    <xf numFmtId="14" fontId="12" fillId="0" borderId="72" xfId="0" applyNumberFormat="1" applyFont="1" applyBorder="1" applyAlignment="1">
      <alignment horizontal="left" vertical="top" indent="2"/>
    </xf>
    <xf numFmtId="14" fontId="12" fillId="0" borderId="66" xfId="0" applyNumberFormat="1" applyFont="1" applyBorder="1" applyAlignment="1">
      <alignment horizontal="left" vertical="top" indent="2"/>
    </xf>
    <xf numFmtId="14" fontId="12" fillId="0" borderId="73" xfId="0" applyNumberFormat="1" applyFont="1" applyBorder="1" applyAlignment="1">
      <alignment horizontal="left" vertical="top" indent="2"/>
    </xf>
    <xf numFmtId="0" fontId="10" fillId="0" borderId="176" xfId="5" applyFont="1" applyFill="1" applyBorder="1" applyAlignment="1">
      <alignment horizontal="left" indent="2"/>
    </xf>
    <xf numFmtId="0" fontId="10" fillId="0" borderId="177" xfId="5" applyFont="1" applyFill="1" applyBorder="1" applyAlignment="1">
      <alignment horizontal="left" indent="2"/>
    </xf>
    <xf numFmtId="0" fontId="12" fillId="0" borderId="52" xfId="0" applyNumberFormat="1" applyFont="1" applyBorder="1" applyAlignment="1">
      <alignment horizontal="left" vertical="top" indent="1"/>
    </xf>
    <xf numFmtId="0" fontId="12" fillId="0" borderId="5" xfId="0" applyNumberFormat="1" applyFont="1" applyBorder="1" applyAlignment="1">
      <alignment horizontal="left" vertical="top" indent="1"/>
    </xf>
    <xf numFmtId="0" fontId="12" fillId="0" borderId="53" xfId="0" applyNumberFormat="1" applyFont="1" applyBorder="1" applyAlignment="1">
      <alignment horizontal="left" vertical="top" indent="1"/>
    </xf>
    <xf numFmtId="0" fontId="11" fillId="5" borderId="81" xfId="6" applyNumberFormat="1" applyBorder="1" applyAlignment="1">
      <alignment horizontal="left" vertical="top" indent="2"/>
    </xf>
    <xf numFmtId="0" fontId="11" fillId="5" borderId="57" xfId="6" applyNumberFormat="1" applyBorder="1" applyAlignment="1">
      <alignment horizontal="left" vertical="top" indent="2"/>
    </xf>
    <xf numFmtId="0" fontId="11" fillId="5" borderId="82" xfId="6" applyNumberFormat="1" applyBorder="1" applyAlignment="1">
      <alignment horizontal="left" vertical="top" indent="2"/>
    </xf>
    <xf numFmtId="49" fontId="10" fillId="0" borderId="178" xfId="5" applyNumberFormat="1" applyFont="1" applyFill="1" applyBorder="1" applyAlignment="1">
      <alignment horizontal="left" indent="2"/>
    </xf>
    <xf numFmtId="49" fontId="10" fillId="0" borderId="179" xfId="5" applyNumberFormat="1" applyFont="1" applyFill="1" applyBorder="1" applyAlignment="1">
      <alignment horizontal="left" indent="2"/>
    </xf>
    <xf numFmtId="0" fontId="9" fillId="9" borderId="52" xfId="0" applyFont="1" applyFill="1" applyBorder="1" applyAlignment="1">
      <alignment horizontal="center"/>
    </xf>
    <xf numFmtId="0" fontId="9" fillId="9" borderId="53" xfId="0" applyFont="1" applyFill="1" applyBorder="1" applyAlignment="1">
      <alignment horizontal="center"/>
    </xf>
    <xf numFmtId="0" fontId="6" fillId="13" borderId="153" xfId="0" applyFont="1" applyFill="1" applyBorder="1" applyAlignment="1">
      <alignment horizontal="center"/>
    </xf>
    <xf numFmtId="0" fontId="8" fillId="13" borderId="52" xfId="1" applyFont="1" applyFill="1" applyBorder="1" applyAlignment="1">
      <alignment horizontal="center" vertical="center" wrapText="1"/>
    </xf>
    <xf numFmtId="0" fontId="8" fillId="13" borderId="5" xfId="1" applyFont="1" applyFill="1" applyBorder="1" applyAlignment="1">
      <alignment horizontal="center" vertical="center" wrapText="1"/>
    </xf>
    <xf numFmtId="0" fontId="8" fillId="13" borderId="53" xfId="1" applyFont="1" applyFill="1" applyBorder="1" applyAlignment="1">
      <alignment horizontal="center" vertical="center" wrapText="1"/>
    </xf>
    <xf numFmtId="0" fontId="8" fillId="13" borderId="6" xfId="1" applyFont="1" applyFill="1" applyBorder="1" applyAlignment="1">
      <alignment horizontal="center" vertical="center" wrapText="1"/>
    </xf>
    <xf numFmtId="0" fontId="8" fillId="13" borderId="0" xfId="1" applyFont="1" applyFill="1" applyBorder="1" applyAlignment="1">
      <alignment horizontal="center" vertical="center" wrapText="1"/>
    </xf>
    <xf numFmtId="0" fontId="8" fillId="13" borderId="7" xfId="1" applyFont="1" applyFill="1" applyBorder="1" applyAlignment="1">
      <alignment horizontal="center" vertical="center" wrapText="1"/>
    </xf>
    <xf numFmtId="0" fontId="9" fillId="30" borderId="16" xfId="0" applyFont="1" applyFill="1" applyBorder="1" applyAlignment="1">
      <alignment horizontal="right" indent="1"/>
    </xf>
    <xf numFmtId="0" fontId="9" fillId="30" borderId="17" xfId="0" applyFont="1" applyFill="1" applyBorder="1" applyAlignment="1">
      <alignment horizontal="right" indent="1"/>
    </xf>
    <xf numFmtId="0" fontId="9" fillId="30" borderId="23" xfId="0" applyFont="1" applyFill="1" applyBorder="1" applyAlignment="1">
      <alignment horizontal="right" indent="1"/>
    </xf>
    <xf numFmtId="0" fontId="9" fillId="30" borderId="24" xfId="0" applyFont="1" applyFill="1" applyBorder="1" applyAlignment="1">
      <alignment horizontal="right" indent="1"/>
    </xf>
    <xf numFmtId="0" fontId="9" fillId="30" borderId="43" xfId="0" applyFont="1" applyFill="1" applyBorder="1" applyAlignment="1">
      <alignment horizontal="right" indent="1"/>
    </xf>
    <xf numFmtId="0" fontId="9" fillId="30" borderId="45" xfId="0" applyFont="1" applyFill="1" applyBorder="1" applyAlignment="1">
      <alignment horizontal="right" indent="1"/>
    </xf>
    <xf numFmtId="0" fontId="9" fillId="30" borderId="17" xfId="0" applyFont="1" applyFill="1" applyBorder="1" applyAlignment="1">
      <alignment horizontal="right"/>
    </xf>
    <xf numFmtId="0" fontId="9" fillId="30" borderId="24" xfId="0" applyFont="1" applyFill="1" applyBorder="1" applyAlignment="1">
      <alignment horizontal="right"/>
    </xf>
    <xf numFmtId="0" fontId="9" fillId="30" borderId="45" xfId="0" applyFont="1" applyFill="1" applyBorder="1" applyAlignment="1">
      <alignment horizontal="right"/>
    </xf>
    <xf numFmtId="0" fontId="9" fillId="30" borderId="17" xfId="0" applyFont="1" applyFill="1" applyBorder="1" applyAlignment="1">
      <alignment horizontal="center"/>
    </xf>
    <xf numFmtId="0" fontId="9" fillId="30" borderId="22" xfId="0" applyFont="1" applyFill="1" applyBorder="1" applyAlignment="1">
      <alignment horizontal="center"/>
    </xf>
    <xf numFmtId="0" fontId="9" fillId="30" borderId="45" xfId="0" applyFont="1" applyFill="1" applyBorder="1" applyAlignment="1">
      <alignment horizontal="center"/>
    </xf>
    <xf numFmtId="0" fontId="9" fillId="30" borderId="24" xfId="0" applyFont="1" applyFill="1" applyBorder="1" applyAlignment="1">
      <alignment horizontal="center"/>
    </xf>
    <xf numFmtId="0" fontId="4" fillId="30" borderId="2" xfId="4" applyFill="1" applyBorder="1" applyAlignment="1" applyProtection="1">
      <alignment horizontal="center" vertical="center"/>
    </xf>
    <xf numFmtId="0" fontId="0" fillId="30" borderId="2" xfId="0" applyFill="1" applyBorder="1"/>
    <xf numFmtId="0" fontId="0" fillId="30" borderId="2" xfId="0" applyFill="1" applyBorder="1" applyAlignment="1">
      <alignment horizontal="center"/>
    </xf>
    <xf numFmtId="0" fontId="135" fillId="0" borderId="24" xfId="25" applyFont="1" applyBorder="1" applyAlignment="1">
      <alignment vertical="center"/>
    </xf>
    <xf numFmtId="0" fontId="135" fillId="13" borderId="24" xfId="25" applyFont="1" applyFill="1" applyBorder="1" applyAlignment="1">
      <alignment vertical="center"/>
    </xf>
    <xf numFmtId="0" fontId="140" fillId="31" borderId="87" xfId="25" applyFont="1" applyFill="1" applyBorder="1" applyAlignment="1">
      <alignment horizontal="center" vertical="center"/>
    </xf>
    <xf numFmtId="0" fontId="140" fillId="31" borderId="87" xfId="25" applyFont="1" applyFill="1" applyBorder="1" applyAlignment="1">
      <alignment horizontal="center" vertical="center" wrapText="1"/>
    </xf>
    <xf numFmtId="0" fontId="134" fillId="31" borderId="87" xfId="25" applyFill="1" applyBorder="1" applyAlignment="1">
      <alignment horizontal="center" vertical="center"/>
    </xf>
    <xf numFmtId="3" fontId="135" fillId="31" borderId="87" xfId="25" applyNumberFormat="1" applyFont="1" applyFill="1" applyBorder="1" applyAlignment="1" applyProtection="1">
      <alignment horizontal="center" vertical="center"/>
      <protection locked="0"/>
    </xf>
    <xf numFmtId="0" fontId="140" fillId="31" borderId="87" xfId="25" applyFont="1" applyFill="1" applyBorder="1" applyAlignment="1" applyProtection="1">
      <alignment horizontal="center" vertical="center" wrapText="1"/>
      <protection locked="0"/>
    </xf>
    <xf numFmtId="0" fontId="135" fillId="31" borderId="87" xfId="25" applyFont="1" applyFill="1" applyBorder="1" applyAlignment="1" applyProtection="1">
      <alignment horizontal="left" vertical="center"/>
      <protection locked="0"/>
    </xf>
    <xf numFmtId="49" fontId="51" fillId="0" borderId="89" xfId="9" applyNumberFormat="1" applyFont="1" applyBorder="1" applyAlignment="1">
      <alignment horizontal="center" vertical="center"/>
    </xf>
    <xf numFmtId="49" fontId="51" fillId="0" borderId="113" xfId="9" applyNumberFormat="1" applyFont="1" applyBorder="1" applyAlignment="1">
      <alignment horizontal="center" vertical="center"/>
    </xf>
    <xf numFmtId="0" fontId="48" fillId="0" borderId="40" xfId="9" applyFont="1" applyBorder="1" applyAlignment="1">
      <alignment horizontal="center" vertical="center"/>
    </xf>
    <xf numFmtId="169" fontId="48" fillId="0" borderId="24" xfId="9" applyNumberFormat="1" applyFont="1" applyBorder="1" applyAlignment="1">
      <alignment horizontal="center" vertical="center"/>
    </xf>
    <xf numFmtId="49" fontId="66" fillId="0" borderId="86" xfId="9" applyNumberFormat="1" applyFont="1" applyBorder="1" applyAlignment="1">
      <alignment horizontal="center" vertical="center"/>
    </xf>
    <xf numFmtId="49" fontId="66" fillId="0" borderId="40" xfId="9" applyNumberFormat="1" applyFont="1" applyBorder="1" applyAlignment="1">
      <alignment horizontal="center" vertical="center"/>
    </xf>
    <xf numFmtId="168" fontId="52" fillId="0" borderId="40" xfId="9" applyNumberFormat="1" applyFont="1" applyBorder="1" applyAlignment="1">
      <alignment horizontal="center" vertical="center"/>
    </xf>
    <xf numFmtId="14" fontId="53" fillId="0" borderId="24" xfId="9" applyNumberFormat="1" applyFont="1" applyBorder="1" applyAlignment="1">
      <alignment horizontal="center" vertical="center"/>
    </xf>
    <xf numFmtId="0" fontId="53" fillId="0" borderId="24" xfId="9" applyFont="1" applyBorder="1" applyAlignment="1">
      <alignment horizontal="center" vertical="center"/>
    </xf>
    <xf numFmtId="0" fontId="66" fillId="0" borderId="40" xfId="9" applyFont="1" applyBorder="1" applyAlignment="1">
      <alignment horizontal="center" vertical="center"/>
    </xf>
    <xf numFmtId="0" fontId="53" fillId="0" borderId="39" xfId="9" applyFont="1" applyBorder="1" applyAlignment="1">
      <alignment horizontal="center" vertical="center"/>
    </xf>
    <xf numFmtId="49" fontId="51" fillId="0" borderId="24" xfId="9" applyNumberFormat="1" applyFont="1" applyBorder="1" applyAlignment="1">
      <alignment horizontal="center" vertical="center"/>
    </xf>
    <xf numFmtId="14" fontId="52" fillId="0" borderId="24" xfId="9" applyNumberFormat="1" applyFont="1" applyBorder="1" applyAlignment="1">
      <alignment horizontal="center" vertical="center"/>
    </xf>
    <xf numFmtId="0" fontId="52" fillId="0" borderId="24" xfId="9" applyFont="1" applyBorder="1" applyAlignment="1">
      <alignment horizontal="center" vertical="center"/>
    </xf>
    <xf numFmtId="0" fontId="5" fillId="18" borderId="40" xfId="11" applyFill="1" applyBorder="1" applyAlignment="1">
      <alignment horizontal="center" vertical="center"/>
    </xf>
    <xf numFmtId="0" fontId="66" fillId="0" borderId="34" xfId="9" applyFont="1" applyBorder="1" applyAlignment="1">
      <alignment horizontal="left" vertical="center"/>
    </xf>
    <xf numFmtId="0" fontId="67" fillId="0" borderId="88" xfId="9" applyFont="1" applyBorder="1" applyAlignment="1">
      <alignment horizontal="center" vertical="center"/>
    </xf>
    <xf numFmtId="49" fontId="51" fillId="0" borderId="88" xfId="9" applyNumberFormat="1" applyFont="1" applyBorder="1" applyAlignment="1">
      <alignment horizontal="center" vertical="center"/>
    </xf>
    <xf numFmtId="169" fontId="48" fillId="0" borderId="27" xfId="9" applyNumberFormat="1" applyFont="1" applyBorder="1" applyAlignment="1">
      <alignment horizontal="center" vertical="center"/>
    </xf>
    <xf numFmtId="0" fontId="48" fillId="0" borderId="146" xfId="9" applyFont="1" applyBorder="1" applyAlignment="1">
      <alignment horizontal="center" vertical="center"/>
    </xf>
    <xf numFmtId="14" fontId="48" fillId="0" borderId="38" xfId="9" applyNumberFormat="1" applyFont="1" applyBorder="1" applyAlignment="1">
      <alignment horizontal="center" vertical="center"/>
    </xf>
    <xf numFmtId="0" fontId="53" fillId="0" borderId="38" xfId="9" applyFont="1" applyBorder="1" applyAlignment="1">
      <alignment horizontal="center" vertical="center"/>
    </xf>
    <xf numFmtId="14" fontId="53" fillId="0" borderId="38" xfId="9" applyNumberFormat="1" applyFont="1" applyBorder="1" applyAlignment="1">
      <alignment horizontal="center" vertical="center"/>
    </xf>
    <xf numFmtId="49" fontId="53" fillId="0" borderId="180" xfId="9" applyNumberFormat="1" applyFont="1" applyBorder="1" applyAlignment="1">
      <alignment horizontal="left" vertical="center"/>
    </xf>
    <xf numFmtId="169" fontId="48" fillId="0" borderId="25" xfId="9" applyNumberFormat="1" applyFont="1" applyBorder="1" applyAlignment="1">
      <alignment horizontal="center" vertical="center"/>
    </xf>
    <xf numFmtId="14" fontId="53" fillId="0" borderId="39" xfId="9" applyNumberFormat="1" applyFont="1" applyBorder="1" applyAlignment="1">
      <alignment horizontal="center" vertical="center"/>
    </xf>
    <xf numFmtId="0" fontId="52" fillId="34" borderId="50" xfId="9" applyFont="1" applyFill="1" applyBorder="1" applyAlignment="1">
      <alignment horizontal="center" vertical="center"/>
    </xf>
    <xf numFmtId="0" fontId="52" fillId="34" borderId="2" xfId="9" applyFont="1" applyFill="1" applyBorder="1" applyAlignment="1">
      <alignment horizontal="center" vertical="center"/>
    </xf>
    <xf numFmtId="0" fontId="52" fillId="34" borderId="51" xfId="9" applyFont="1" applyFill="1" applyBorder="1" applyAlignment="1">
      <alignment horizontal="center" vertical="center"/>
    </xf>
    <xf numFmtId="0" fontId="66" fillId="0" borderId="37" xfId="9" applyFont="1" applyBorder="1" applyAlignment="1">
      <alignment horizontal="left" vertical="center"/>
    </xf>
    <xf numFmtId="0" fontId="67" fillId="0" borderId="38" xfId="9" applyFont="1" applyBorder="1" applyAlignment="1">
      <alignment horizontal="center" vertical="center"/>
    </xf>
    <xf numFmtId="49" fontId="66" fillId="0" borderId="146" xfId="9" applyNumberFormat="1" applyFont="1" applyBorder="1" applyAlignment="1">
      <alignment horizontal="center" vertical="center"/>
    </xf>
    <xf numFmtId="49" fontId="53" fillId="0" borderId="38" xfId="9" applyNumberFormat="1" applyFont="1" applyBorder="1" applyAlignment="1">
      <alignment horizontal="center" vertical="center"/>
    </xf>
    <xf numFmtId="0" fontId="52" fillId="32" borderId="50" xfId="9" applyFont="1" applyFill="1" applyBorder="1" applyAlignment="1">
      <alignment horizontal="center" vertical="center"/>
    </xf>
    <xf numFmtId="0" fontId="52" fillId="32" borderId="2" xfId="9" applyFont="1" applyFill="1" applyBorder="1" applyAlignment="1">
      <alignment horizontal="center" vertical="center"/>
    </xf>
    <xf numFmtId="0" fontId="52" fillId="32" borderId="51" xfId="9" applyFont="1" applyFill="1" applyBorder="1" applyAlignment="1">
      <alignment horizontal="center" vertical="center"/>
    </xf>
    <xf numFmtId="0" fontId="5" fillId="18" borderId="86" xfId="11" applyFill="1" applyBorder="1" applyAlignment="1">
      <alignment horizontal="center" vertical="center"/>
    </xf>
    <xf numFmtId="0" fontId="60" fillId="0" borderId="181" xfId="9" applyFont="1" applyBorder="1" applyAlignment="1">
      <alignment horizontal="left" vertical="top"/>
    </xf>
    <xf numFmtId="0" fontId="62" fillId="0" borderId="0" xfId="9" applyFont="1" applyBorder="1" applyAlignment="1">
      <alignment horizontal="center"/>
    </xf>
    <xf numFmtId="0" fontId="51" fillId="19" borderId="137" xfId="9" applyFont="1" applyFill="1" applyBorder="1" applyAlignment="1">
      <alignment horizontal="center"/>
    </xf>
    <xf numFmtId="0" fontId="60" fillId="0" borderId="138" xfId="9" applyFont="1" applyBorder="1"/>
    <xf numFmtId="0" fontId="48" fillId="0" borderId="86" xfId="9" applyFont="1" applyBorder="1" applyAlignment="1">
      <alignment horizontal="center" vertical="center"/>
    </xf>
    <xf numFmtId="0" fontId="48" fillId="0" borderId="141" xfId="9" applyFont="1" applyBorder="1" applyAlignment="1">
      <alignment horizontal="left" vertical="center"/>
    </xf>
    <xf numFmtId="0" fontId="52" fillId="33" borderId="50" xfId="9" applyFont="1" applyFill="1" applyBorder="1" applyAlignment="1">
      <alignment horizontal="center" vertical="center"/>
    </xf>
    <xf numFmtId="0" fontId="52" fillId="33" borderId="2" xfId="9" applyFont="1" applyFill="1" applyBorder="1" applyAlignment="1">
      <alignment horizontal="center" vertical="center"/>
    </xf>
    <xf numFmtId="0" fontId="52" fillId="33" borderId="51" xfId="9" applyFont="1" applyFill="1" applyBorder="1" applyAlignment="1">
      <alignment horizontal="center" vertical="center"/>
    </xf>
    <xf numFmtId="0" fontId="53" fillId="0" borderId="38" xfId="9" applyFont="1" applyBorder="1" applyAlignment="1">
      <alignment horizontal="left" vertical="center" indent="1"/>
    </xf>
    <xf numFmtId="49" fontId="51" fillId="0" borderId="38" xfId="9" applyNumberFormat="1" applyFont="1" applyBorder="1" applyAlignment="1">
      <alignment horizontal="center" vertical="center"/>
    </xf>
    <xf numFmtId="0" fontId="53" fillId="0" borderId="35" xfId="9" applyFont="1" applyBorder="1" applyAlignment="1">
      <alignment horizontal="center" vertical="center"/>
    </xf>
    <xf numFmtId="49" fontId="66" fillId="0" borderId="38" xfId="9" applyNumberFormat="1" applyFont="1" applyBorder="1" applyAlignment="1">
      <alignment horizontal="center" vertical="center"/>
    </xf>
    <xf numFmtId="49" fontId="60" fillId="0" borderId="180" xfId="9" applyNumberFormat="1" applyFont="1" applyBorder="1" applyAlignment="1">
      <alignment horizontal="left" vertical="center"/>
    </xf>
    <xf numFmtId="0" fontId="53" fillId="20" borderId="39" xfId="9" applyFont="1" applyFill="1" applyBorder="1" applyAlignment="1">
      <alignment horizontal="left" vertical="center" indent="1"/>
    </xf>
    <xf numFmtId="49" fontId="51" fillId="0" borderId="86" xfId="9" applyNumberFormat="1" applyFont="1" applyBorder="1" applyAlignment="1">
      <alignment horizontal="center" vertical="center"/>
    </xf>
    <xf numFmtId="49" fontId="60" fillId="0" borderId="141" xfId="9" applyNumberFormat="1" applyFont="1" applyBorder="1" applyAlignment="1">
      <alignment horizontal="left" vertical="center"/>
    </xf>
    <xf numFmtId="0" fontId="52" fillId="35" borderId="50" xfId="9" applyFont="1" applyFill="1" applyBorder="1" applyAlignment="1">
      <alignment horizontal="center" vertical="center"/>
    </xf>
    <xf numFmtId="0" fontId="52" fillId="35" borderId="2" xfId="9" applyFont="1" applyFill="1" applyBorder="1" applyAlignment="1">
      <alignment horizontal="center" vertical="center"/>
    </xf>
    <xf numFmtId="0" fontId="52" fillId="35" borderId="51" xfId="9" applyFont="1" applyFill="1" applyBorder="1" applyAlignment="1">
      <alignment horizontal="center" vertical="center"/>
    </xf>
  </cellXfs>
  <cellStyles count="27">
    <cellStyle name="60 % – Poudarek2" xfId="3" builtinId="36"/>
    <cellStyle name="Dobro 2" xfId="19" xr:uid="{D6A13C89-C790-484C-BCD2-B01164A27DFB}"/>
    <cellStyle name="Dobro 3" xfId="16" xr:uid="{3B93157B-EF61-4E55-8DA5-92E1F2752C1D}"/>
    <cellStyle name="Excel Built-in Hyperlink" xfId="24" xr:uid="{57584FB6-B0AD-43D7-A5AA-F3452FB4778F}"/>
    <cellStyle name="Excel Built-in Normal" xfId="5" xr:uid="{00000000-0005-0000-0000-000001000000}"/>
    <cellStyle name="Excel Built-in Normal 2" xfId="22" xr:uid="{B28D9F30-3366-4B05-B17E-A27527D80733}"/>
    <cellStyle name="Excel_BuiltIn_Dobro" xfId="21" xr:uid="{4C7D890C-EA0C-4815-A42F-F7E5394D9AF9}"/>
    <cellStyle name="Excel_BuiltIn_Percent" xfId="20" xr:uid="{C0BC300A-F2E9-498B-891E-490E413EE543}"/>
    <cellStyle name="Excel_BuiltIn_Percent 2" xfId="26" xr:uid="{8B9A5CD3-11B3-4DD3-9F1C-35898058C6F5}"/>
    <cellStyle name="Grey" xfId="6" xr:uid="{00000000-0005-0000-0000-000002000000}"/>
    <cellStyle name="Hiperpovezava" xfId="4" builtinId="8"/>
    <cellStyle name="Hiperpovezava 2" xfId="10" xr:uid="{FBD01DE0-56FF-4F09-8977-7615ABB0C01E}"/>
    <cellStyle name="Naslov 1" xfId="1" builtinId="16"/>
    <cellStyle name="Navadno" xfId="0" builtinId="0"/>
    <cellStyle name="Navadno 2" xfId="8" xr:uid="{BF9EE467-A760-446E-8138-DC71226BBD98}"/>
    <cellStyle name="Navadno 2 2" xfId="12" xr:uid="{1F609B90-944F-47AE-A913-97153B5093B2}"/>
    <cellStyle name="Navadno 2 3" xfId="17" xr:uid="{DB51AC70-020B-4BE7-8C01-DAB7E0F38B16}"/>
    <cellStyle name="Navadno 3" xfId="9" xr:uid="{D475D960-C4C8-47B6-9814-D677248F5FD5}"/>
    <cellStyle name="Navadno 4" xfId="13" xr:uid="{490E8227-62EA-47C7-BFBB-0ED2B5A9B597}"/>
    <cellStyle name="Navadno 5" xfId="23" xr:uid="{202849E1-A967-43CA-9FA3-CF8BB6846AE0}"/>
    <cellStyle name="Navadno 6" xfId="25" xr:uid="{4113DBDF-07B7-4B37-B364-444A90390987}"/>
    <cellStyle name="Navadno_List1" xfId="14" xr:uid="{CC58773D-77DD-4CD6-96D3-8A96DCFB4B2D}"/>
    <cellStyle name="Navadno_MP_B260220_1" xfId="15" xr:uid="{03C950DC-ABB3-47A2-9272-0B04FAE4320D}"/>
    <cellStyle name="Normal 2" xfId="7" xr:uid="{00000000-0005-0000-0000-000006000000}"/>
    <cellStyle name="Normal_Blad1" xfId="11" xr:uid="{AD6E9509-504D-42D2-BC1E-EFF59B44C499}"/>
    <cellStyle name="Odstotek 2" xfId="18" xr:uid="{D005F5C2-441F-43BA-B188-32D86355858D}"/>
    <cellStyle name="Poudarek2" xfId="2" builtinId="33"/>
  </cellStyles>
  <dxfs count="99">
    <dxf>
      <font>
        <color rgb="FFFFFFFF"/>
        <family val="2"/>
        <charset val="238"/>
      </font>
    </dxf>
    <dxf>
      <font>
        <color rgb="FFFFFFFF"/>
        <family val="2"/>
        <charset val="238"/>
      </font>
    </dxf>
    <dxf>
      <font>
        <color rgb="FFFFFFFF"/>
        <family val="2"/>
        <charset val="238"/>
      </font>
    </dxf>
    <dxf>
      <font>
        <color rgb="FFFFFFFF"/>
        <family val="2"/>
        <charset val="238"/>
      </font>
    </dxf>
    <dxf>
      <font>
        <color rgb="FFFFFFFF"/>
        <family val="2"/>
        <charset val="238"/>
      </font>
    </dxf>
    <dxf>
      <fill>
        <patternFill>
          <bgColor indexed="26"/>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b/>
        <i val="0"/>
        <condense val="0"/>
        <extend val="0"/>
      </font>
      <fill>
        <patternFill patternType="solid">
          <fgColor indexed="60"/>
          <bgColor indexed="10"/>
        </patternFill>
      </fill>
    </dxf>
    <dxf>
      <font>
        <b/>
        <i val="0"/>
        <condense val="0"/>
        <extend val="0"/>
      </font>
      <fill>
        <patternFill patternType="solid">
          <fgColor indexed="34"/>
          <bgColor indexed="13"/>
        </patternFill>
      </fill>
    </dxf>
    <dxf>
      <font>
        <b/>
        <i val="0"/>
        <condense val="0"/>
        <extend val="0"/>
      </font>
      <fill>
        <patternFill patternType="solid">
          <fgColor indexed="49"/>
          <bgColor indexed="11"/>
        </patternFill>
      </fill>
    </dxf>
    <dxf>
      <font>
        <color theme="0"/>
      </font>
      <fill>
        <patternFill>
          <bgColor rgb="FFFF0000"/>
        </patternFill>
      </fill>
    </dxf>
    <dxf>
      <font>
        <color theme="0"/>
      </font>
      <fill>
        <patternFill>
          <bgColor theme="4"/>
        </patternFill>
      </fill>
    </dxf>
    <dxf>
      <font>
        <color theme="0"/>
      </font>
      <fill>
        <patternFill>
          <bgColor rgb="FFFF0000"/>
        </patternFill>
      </fill>
    </dxf>
    <dxf>
      <font>
        <color theme="0"/>
      </font>
      <fill>
        <patternFill>
          <bgColor rgb="FFFF0000"/>
        </patternFill>
      </fill>
    </dxf>
    <dxf>
      <font>
        <color theme="0"/>
      </font>
      <fill>
        <patternFill>
          <bgColor theme="4"/>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color theme="0"/>
      </font>
      <fill>
        <patternFill>
          <bgColor rgb="FFFF0000"/>
        </patternFill>
      </fill>
    </dxf>
    <dxf>
      <font>
        <color theme="0"/>
      </font>
      <fill>
        <patternFill>
          <bgColor theme="4"/>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rgb="FFFF0000"/>
        </patternFill>
      </fill>
    </dxf>
    <dxf>
      <font>
        <color theme="0"/>
      </font>
      <fill>
        <patternFill>
          <bgColor theme="4"/>
        </patternFill>
      </fill>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rgb="FFFF0000"/>
        </patternFill>
      </fill>
    </dxf>
    <dxf>
      <font>
        <color theme="0"/>
      </font>
      <fill>
        <patternFill>
          <bgColor theme="4"/>
        </patternFill>
      </fill>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rgb="FFFF0000"/>
        </patternFill>
      </fill>
    </dxf>
    <dxf>
      <font>
        <color theme="0"/>
      </font>
      <fill>
        <patternFill>
          <bgColor theme="4"/>
        </patternFill>
      </fill>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9"/>
      </font>
      <fill>
        <patternFill patternType="solid">
          <fgColor indexed="16"/>
          <bgColor indexed="10"/>
        </patternFill>
      </fill>
      <border>
        <left style="thin">
          <color indexed="8"/>
        </left>
        <right style="thin">
          <color indexed="8"/>
        </right>
        <top style="thin">
          <color indexed="8"/>
        </top>
        <bottom style="thin">
          <color indexed="8"/>
        </bottom>
      </border>
    </dxf>
    <dxf>
      <font>
        <color theme="0"/>
      </font>
      <fill>
        <patternFill>
          <bgColor rgb="FFFF0000"/>
        </patternFill>
      </fill>
    </dxf>
    <dxf>
      <font>
        <color theme="0"/>
      </font>
      <fill>
        <patternFill>
          <bgColor theme="4"/>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rgb="FF00B050"/>
      </font>
    </dxf>
    <dxf>
      <font>
        <b/>
        <i val="0"/>
        <color rgb="FFFF0000"/>
      </font>
    </dxf>
    <dxf>
      <font>
        <b/>
        <i val="0"/>
        <color rgb="FFFF0000"/>
      </font>
    </dxf>
    <dxf>
      <font>
        <color rgb="FF0000CC"/>
      </font>
    </dxf>
    <dxf>
      <font>
        <b/>
        <i val="0"/>
        <color theme="0"/>
      </font>
      <fill>
        <patternFill>
          <bgColor rgb="FF00B0F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l-SI"/>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a:solidFill>
                  <a:srgbClr val="000080"/>
                </a:solidFill>
                <a:latin typeface="Calibri"/>
                <a:cs typeface="Calibri"/>
              </a:defRPr>
            </a:pPr>
            <a:r>
              <a:rPr lang="sl-SI" sz="2000"/>
              <a:t>Pareto diagram - events</a:t>
            </a:r>
          </a:p>
        </c:rich>
      </c:tx>
      <c:layout>
        <c:manualLayout>
          <c:xMode val="edge"/>
          <c:yMode val="edge"/>
          <c:x val="0.19932660267458613"/>
          <c:y val="5.5005885843815973E-2"/>
        </c:manualLayout>
      </c:layout>
      <c:overlay val="0"/>
      <c:spPr>
        <a:noFill/>
      </c:spPr>
    </c:title>
    <c:autoTitleDeleted val="0"/>
    <c:plotArea>
      <c:layout>
        <c:manualLayout>
          <c:xMode val="edge"/>
          <c:yMode val="edge"/>
          <c:x val="9.3425495057161925E-2"/>
          <c:y val="0.13387619297784781"/>
          <c:w val="0.88863699638070237"/>
          <c:h val="0.96471387988987145"/>
        </c:manualLayout>
      </c:layout>
      <c:barChart>
        <c:barDir val="col"/>
        <c:grouping val="clustered"/>
        <c:varyColors val="0"/>
        <c:ser>
          <c:idx val="0"/>
          <c:order val="0"/>
          <c:tx>
            <c:strRef>
              <c:f>Pareto!$B$3</c:f>
              <c:strCache>
                <c:ptCount val="1"/>
                <c:pt idx="0">
                  <c:v>Nr. Failures</c:v>
                </c:pt>
              </c:strCache>
            </c:strRef>
          </c:tx>
          <c:spPr>
            <a:solidFill>
              <a:srgbClr val="0070C0"/>
            </a:solidFill>
            <a:ln>
              <a:noFill/>
            </a:ln>
          </c:spPr>
          <c:invertIfNegative val="0"/>
          <c:dLbls>
            <c:numFmt formatCode="General" sourceLinked="0"/>
            <c:spPr>
              <a:noFill/>
              <a:ln>
                <a:noFill/>
              </a:ln>
              <a:effectLst/>
            </c:spPr>
            <c:txPr>
              <a:bodyPr wrap="square" lIns="38100" tIns="19050" rIns="38100" bIns="19050" anchor="ctr">
                <a:spAutoFit/>
              </a:bodyPr>
              <a:lstStyle/>
              <a:p>
                <a:pPr>
                  <a:defRPr sz="800" b="0">
                    <a:solidFill>
                      <a:srgbClr val="003366"/>
                    </a:solidFill>
                    <a:latin typeface="Calibri"/>
                    <a:cs typeface="Calibri"/>
                  </a:defRPr>
                </a:pPr>
                <a:endParaRPr lang="sl-SI"/>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cat>
            <c:numRef>
              <c:f>Pareto!$A$4:$A$5</c:f>
              <c:numCache>
                <c:formatCode>General</c:formatCode>
                <c:ptCount val="2"/>
              </c:numCache>
            </c:numRef>
          </c:cat>
          <c:val>
            <c:numRef>
              <c:f>Pareto!$B$4:$B$5</c:f>
              <c:numCache>
                <c:formatCode>General</c:formatCode>
                <c:ptCount val="2"/>
              </c:numCache>
            </c:numRef>
          </c:val>
          <c:extLst>
            <c:ext xmlns:c16="http://schemas.microsoft.com/office/drawing/2014/chart" uri="{C3380CC4-5D6E-409C-BE32-E72D297353CC}">
              <c16:uniqueId val="{00000000-DF04-42A9-B123-56A4DBA72909}"/>
            </c:ext>
          </c:extLst>
        </c:ser>
        <c:dLbls>
          <c:showLegendKey val="0"/>
          <c:showVal val="0"/>
          <c:showCatName val="0"/>
          <c:showSerName val="0"/>
          <c:showPercent val="0"/>
          <c:showBubbleSize val="0"/>
        </c:dLbls>
        <c:gapWidth val="150"/>
        <c:axId val="210232576"/>
        <c:axId val="210227984"/>
      </c:barChart>
      <c:lineChart>
        <c:grouping val="standard"/>
        <c:varyColors val="0"/>
        <c:ser>
          <c:idx val="1"/>
          <c:order val="1"/>
          <c:tx>
            <c:strRef>
              <c:f>Pareto!$D$3</c:f>
              <c:strCache>
                <c:ptCount val="1"/>
                <c:pt idx="0">
                  <c:v>Sum %</c:v>
                </c:pt>
              </c:strCache>
            </c:strRef>
          </c:tx>
          <c:spPr>
            <a:ln w="25200">
              <a:solidFill>
                <a:srgbClr val="FF0000"/>
              </a:solidFill>
            </a:ln>
          </c:spPr>
          <c:marker>
            <c:symbol val="circle"/>
            <c:size val="7"/>
          </c:marker>
          <c:dLbls>
            <c:numFmt formatCode="0%" sourceLinked="0"/>
            <c:spPr>
              <a:noFill/>
              <a:ln>
                <a:noFill/>
              </a:ln>
              <a:effectLst/>
            </c:spPr>
            <c:txPr>
              <a:bodyPr wrap="square" lIns="38100" tIns="19050" rIns="38100" bIns="19050" anchor="ctr">
                <a:spAutoFit/>
              </a:bodyPr>
              <a:lstStyle/>
              <a:p>
                <a:pPr>
                  <a:defRPr sz="700" b="0">
                    <a:solidFill>
                      <a:srgbClr val="003366"/>
                    </a:solidFill>
                    <a:latin typeface="Calibri"/>
                    <a:cs typeface="Calibri"/>
                  </a:defRPr>
                </a:pPr>
                <a:endParaRPr lang="sl-SI"/>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val>
            <c:numRef>
              <c:f>Pareto!$D$4:$D$5</c:f>
              <c:numCache>
                <c:formatCode>0%</c:formatCode>
                <c:ptCount val="2"/>
              </c:numCache>
            </c:numRef>
          </c:val>
          <c:smooth val="0"/>
          <c:extLst>
            <c:ext xmlns:c16="http://schemas.microsoft.com/office/drawing/2014/chart" uri="{C3380CC4-5D6E-409C-BE32-E72D297353CC}">
              <c16:uniqueId val="{00000001-DF04-42A9-B123-56A4DBA72909}"/>
            </c:ext>
          </c:extLst>
        </c:ser>
        <c:dLbls>
          <c:showLegendKey val="0"/>
          <c:showVal val="0"/>
          <c:showCatName val="0"/>
          <c:showSerName val="0"/>
          <c:showPercent val="0"/>
          <c:showBubbleSize val="0"/>
        </c:dLbls>
        <c:marker val="1"/>
        <c:smooth val="0"/>
        <c:axId val="210228312"/>
        <c:axId val="210230280"/>
      </c:lineChart>
      <c:valAx>
        <c:axId val="210227984"/>
        <c:scaling>
          <c:orientation val="minMax"/>
        </c:scaling>
        <c:delete val="0"/>
        <c:axPos val="l"/>
        <c:majorGridlines>
          <c:spPr>
            <a:ln>
              <a:solidFill>
                <a:srgbClr val="808080"/>
              </a:solidFill>
              <a:custDash>
                <a:ds d="393071" sp="393071"/>
              </a:custDash>
            </a:ln>
          </c:spPr>
        </c:majorGridlines>
        <c:title>
          <c:tx>
            <c:rich>
              <a:bodyPr/>
              <a:lstStyle/>
              <a:p>
                <a:pPr>
                  <a:defRPr sz="2000" b="1">
                    <a:solidFill>
                      <a:srgbClr val="000080"/>
                    </a:solidFill>
                    <a:latin typeface="Calibri"/>
                    <a:cs typeface="Calibri"/>
                  </a:defRPr>
                </a:pPr>
                <a:r>
                  <a:rPr lang="sl-SI" sz="2000"/>
                  <a:t>Nr.</a:t>
                </a:r>
                <a:r>
                  <a:rPr lang="sl-SI" sz="2000" baseline="0"/>
                  <a:t> Events</a:t>
                </a:r>
                <a:endParaRPr lang="sl-SI" sz="2000"/>
              </a:p>
            </c:rich>
          </c:tx>
          <c:layout>
            <c:manualLayout>
              <c:xMode val="edge"/>
              <c:yMode val="edge"/>
              <c:x val="4.9213467504574018E-2"/>
              <c:y val="0.15278969539542167"/>
            </c:manualLayout>
          </c:layout>
          <c:overlay val="0"/>
          <c:spPr>
            <a:noFill/>
          </c:spPr>
        </c:title>
        <c:numFmt formatCode="General" sourceLinked="1"/>
        <c:majorTickMark val="none"/>
        <c:minorTickMark val="none"/>
        <c:tickLblPos val="nextTo"/>
        <c:spPr>
          <a:ln>
            <a:solidFill>
              <a:srgbClr val="808080"/>
            </a:solidFill>
            <a:custDash>
              <a:ds d="1572283" sp="100000"/>
            </a:custDash>
          </a:ln>
        </c:spPr>
        <c:txPr>
          <a:bodyPr/>
          <a:lstStyle/>
          <a:p>
            <a:pPr>
              <a:defRPr sz="1000" b="0">
                <a:solidFill>
                  <a:srgbClr val="333399"/>
                </a:solidFill>
                <a:latin typeface="Calibri"/>
                <a:cs typeface="Calibri"/>
              </a:defRPr>
            </a:pPr>
            <a:endParaRPr lang="sl-SI"/>
          </a:p>
        </c:txPr>
        <c:crossAx val="210232576"/>
        <c:crossesAt val="1"/>
        <c:crossBetween val="between"/>
      </c:valAx>
      <c:catAx>
        <c:axId val="210232576"/>
        <c:scaling>
          <c:orientation val="minMax"/>
        </c:scaling>
        <c:delete val="0"/>
        <c:axPos val="b"/>
        <c:numFmt formatCode="General" sourceLinked="1"/>
        <c:majorTickMark val="none"/>
        <c:minorTickMark val="none"/>
        <c:tickLblPos val="nextTo"/>
        <c:spPr>
          <a:ln>
            <a:solidFill>
              <a:srgbClr val="808080"/>
            </a:solidFill>
          </a:ln>
        </c:spPr>
        <c:txPr>
          <a:bodyPr/>
          <a:lstStyle/>
          <a:p>
            <a:pPr>
              <a:defRPr sz="1000" b="0">
                <a:solidFill>
                  <a:srgbClr val="003366"/>
                </a:solidFill>
                <a:latin typeface="Calibri"/>
                <a:cs typeface="Calibri"/>
              </a:defRPr>
            </a:pPr>
            <a:endParaRPr lang="sl-SI"/>
          </a:p>
        </c:txPr>
        <c:crossAx val="210227984"/>
        <c:crossesAt val="0"/>
        <c:auto val="1"/>
        <c:lblAlgn val="ctr"/>
        <c:lblOffset val="100"/>
        <c:noMultiLvlLbl val="0"/>
      </c:catAx>
      <c:valAx>
        <c:axId val="210230280"/>
        <c:scaling>
          <c:orientation val="minMax"/>
        </c:scaling>
        <c:delete val="0"/>
        <c:axPos val="r"/>
        <c:numFmt formatCode="0%" sourceLinked="1"/>
        <c:majorTickMark val="none"/>
        <c:minorTickMark val="none"/>
        <c:tickLblPos val="nextTo"/>
        <c:spPr>
          <a:ln>
            <a:solidFill>
              <a:srgbClr val="808080"/>
            </a:solidFill>
          </a:ln>
        </c:spPr>
        <c:txPr>
          <a:bodyPr/>
          <a:lstStyle/>
          <a:p>
            <a:pPr>
              <a:defRPr sz="1000" b="0">
                <a:solidFill>
                  <a:srgbClr val="003366"/>
                </a:solidFill>
                <a:latin typeface="Calibri"/>
                <a:cs typeface="Calibri"/>
              </a:defRPr>
            </a:pPr>
            <a:endParaRPr lang="sl-SI"/>
          </a:p>
        </c:txPr>
        <c:crossAx val="210228312"/>
        <c:crosses val="max"/>
        <c:crossBetween val="between"/>
      </c:valAx>
      <c:catAx>
        <c:axId val="210228312"/>
        <c:scaling>
          <c:orientation val="minMax"/>
        </c:scaling>
        <c:delete val="1"/>
        <c:axPos val="t"/>
        <c:numFmt formatCode="General" sourceLinked="1"/>
        <c:majorTickMark val="none"/>
        <c:minorTickMark val="none"/>
        <c:tickLblPos val="nextTo"/>
        <c:crossAx val="210230280"/>
        <c:crosses val="max"/>
        <c:auto val="1"/>
        <c:lblAlgn val="ctr"/>
        <c:lblOffset val="100"/>
        <c:noMultiLvlLbl val="0"/>
      </c:catAx>
      <c:spPr>
        <a:noFill/>
        <a:ln w="12600">
          <a:solidFill>
            <a:srgbClr val="000000"/>
          </a:solidFill>
        </a:ln>
      </c:spPr>
    </c:plotArea>
    <c:plotVisOnly val="1"/>
    <c:dispBlanksAs val="gap"/>
    <c:showDLblsOverMax val="0"/>
  </c:chart>
  <c:spPr>
    <a:ln>
      <a:solidFill>
        <a:srgbClr val="808080"/>
      </a:solidFill>
      <a:prstDash val="solid"/>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l-SI"/>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7.0873746576723354E-3"/>
          <c:y val="4.322819058462659E-2"/>
          <c:w val="0.97897490277228894"/>
          <c:h val="0.85120574279190109"/>
        </c:manualLayout>
      </c:layout>
      <c:lineChart>
        <c:grouping val="standard"/>
        <c:varyColors val="0"/>
        <c:ser>
          <c:idx val="0"/>
          <c:order val="0"/>
          <c:tx>
            <c:strRef>
              <c:f>Failure_Accumulation_Chart!$A$15</c:f>
              <c:strCache>
                <c:ptCount val="1"/>
                <c:pt idx="0">
                  <c:v>ppm:</c:v>
                </c:pt>
              </c:strCache>
            </c:strRef>
          </c:tx>
          <c:spPr>
            <a:ln w="37801" cap="rnd">
              <a:solidFill>
                <a:srgbClr val="000080"/>
              </a:solidFill>
              <a:prstDash val="solid"/>
              <a:round/>
            </a:ln>
          </c:spPr>
          <c:marker>
            <c:symbol val="diamond"/>
            <c:size val="10"/>
          </c:marker>
          <c:val>
            <c:numRef>
              <c:f>Failure_Accumulation_Chart!$D$15:$AJ$15</c:f>
              <c:numCache>
                <c:formatCode>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20">
                  <c:v>0</c:v>
                </c:pt>
              </c:numCache>
            </c:numRef>
          </c:val>
          <c:smooth val="0"/>
          <c:extLst>
            <c:ext xmlns:c16="http://schemas.microsoft.com/office/drawing/2014/chart" uri="{C3380CC4-5D6E-409C-BE32-E72D297353CC}">
              <c16:uniqueId val="{00000000-2D81-41C7-ACF3-CFF2A7FF62D7}"/>
            </c:ext>
          </c:extLst>
        </c:ser>
        <c:ser>
          <c:idx val="1"/>
          <c:order val="1"/>
          <c:tx>
            <c:strRef>
              <c:f>Failure_Accumulation_Chart!$A$17</c:f>
              <c:strCache>
                <c:ptCount val="1"/>
                <c:pt idx="0">
                  <c:v>Control Limit (ppm)</c:v>
                </c:pt>
              </c:strCache>
            </c:strRef>
          </c:tx>
          <c:spPr>
            <a:ln w="37801" cap="rnd">
              <a:solidFill>
                <a:srgbClr val="FF0000"/>
              </a:solidFill>
              <a:prstDash val="solid"/>
              <a:round/>
            </a:ln>
          </c:spPr>
          <c:marker>
            <c:symbol val="none"/>
          </c:marker>
          <c:val>
            <c:numRef>
              <c:f>Failure_Accumulation_Chart!$D$16:$AJ$16</c:f>
              <c:numCache>
                <c:formatCode>General</c:formatCode>
                <c:ptCount val="33"/>
                <c:pt idx="0">
                  <c:v>5000</c:v>
                </c:pt>
                <c:pt idx="1">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20">
                  <c:v>5000</c:v>
                </c:pt>
                <c:pt idx="21">
                  <c:v>5000</c:v>
                </c:pt>
                <c:pt idx="22">
                  <c:v>5000</c:v>
                </c:pt>
                <c:pt idx="23">
                  <c:v>5000</c:v>
                </c:pt>
                <c:pt idx="24">
                  <c:v>5000</c:v>
                </c:pt>
                <c:pt idx="25">
                  <c:v>5000</c:v>
                </c:pt>
                <c:pt idx="26">
                  <c:v>5000</c:v>
                </c:pt>
                <c:pt idx="27">
                  <c:v>5000</c:v>
                </c:pt>
                <c:pt idx="28">
                  <c:v>5000</c:v>
                </c:pt>
                <c:pt idx="29">
                  <c:v>5000</c:v>
                </c:pt>
                <c:pt idx="30">
                  <c:v>5000</c:v>
                </c:pt>
                <c:pt idx="31">
                  <c:v>5000</c:v>
                </c:pt>
                <c:pt idx="32">
                  <c:v>5000</c:v>
                </c:pt>
              </c:numCache>
            </c:numRef>
          </c:val>
          <c:smooth val="0"/>
          <c:extLst>
            <c:ext xmlns:c16="http://schemas.microsoft.com/office/drawing/2014/chart" uri="{C3380CC4-5D6E-409C-BE32-E72D297353CC}">
              <c16:uniqueId val="{00000001-2D81-41C7-ACF3-CFF2A7FF62D7}"/>
            </c:ext>
          </c:extLst>
        </c:ser>
        <c:dLbls>
          <c:showLegendKey val="0"/>
          <c:showVal val="0"/>
          <c:showCatName val="0"/>
          <c:showSerName val="0"/>
          <c:showPercent val="0"/>
          <c:showBubbleSize val="0"/>
        </c:dLbls>
        <c:marker val="1"/>
        <c:smooth val="0"/>
        <c:axId val="268755984"/>
        <c:axId val="268756312"/>
      </c:lineChart>
      <c:valAx>
        <c:axId val="268756312"/>
        <c:scaling>
          <c:orientation val="minMax"/>
        </c:scaling>
        <c:delete val="0"/>
        <c:axPos val="r"/>
        <c:majorGridlines>
          <c:spPr>
            <a:ln w="6345" cap="flat">
              <a:solidFill>
                <a:srgbClr val="000000"/>
              </a:solidFill>
              <a:prstDash val="solid"/>
              <a:round/>
            </a:ln>
          </c:spPr>
        </c:majorGridlines>
        <c:numFmt formatCode="#,##0" sourceLinked="0"/>
        <c:majorTickMark val="none"/>
        <c:minorTickMark val="none"/>
        <c:tickLblPos val="nextTo"/>
        <c:spPr>
          <a:noFill/>
          <a:ln w="6345" cap="flat">
            <a:solidFill>
              <a:srgbClr val="000000"/>
            </a:solidFill>
            <a:prstDash val="solid"/>
            <a:round/>
          </a:ln>
        </c:spPr>
        <c:txPr>
          <a:bodyPr lIns="0" tIns="0" rIns="0" bIns="0"/>
          <a:lstStyle/>
          <a:p>
            <a:pPr marL="0" marR="0" indent="0" defTabSz="914400" fontAlgn="auto" hangingPunct="1">
              <a:lnSpc>
                <a:spcPct val="100000"/>
              </a:lnSpc>
              <a:spcBef>
                <a:spcPts val="0"/>
              </a:spcBef>
              <a:spcAft>
                <a:spcPts val="0"/>
              </a:spcAft>
              <a:tabLst/>
              <a:defRPr sz="825" b="0" i="0" u="none" strike="noStrike" kern="1200" baseline="0">
                <a:solidFill>
                  <a:srgbClr val="000000"/>
                </a:solidFill>
                <a:latin typeface="Calibri"/>
              </a:defRPr>
            </a:pPr>
            <a:endParaRPr lang="sl-SI"/>
          </a:p>
        </c:txPr>
        <c:crossAx val="268755984"/>
        <c:crosses val="max"/>
        <c:crossBetween val="between"/>
      </c:valAx>
      <c:catAx>
        <c:axId val="268755984"/>
        <c:scaling>
          <c:orientation val="minMax"/>
        </c:scaling>
        <c:delete val="0"/>
        <c:axPos val="b"/>
        <c:majorTickMark val="none"/>
        <c:minorTickMark val="none"/>
        <c:tickLblPos val="nextTo"/>
        <c:spPr>
          <a:noFill/>
          <a:ln w="6345" cap="flat">
            <a:solidFill>
              <a:srgbClr val="000000"/>
            </a:solidFill>
            <a:prstDash val="solid"/>
            <a:round/>
          </a:ln>
        </c:spPr>
        <c:txPr>
          <a:bodyPr lIns="0" tIns="0" rIns="0" bIns="0"/>
          <a:lstStyle/>
          <a:p>
            <a:pPr marL="0" marR="0" indent="0" defTabSz="914400" fontAlgn="auto" hangingPunct="1">
              <a:lnSpc>
                <a:spcPct val="100000"/>
              </a:lnSpc>
              <a:spcBef>
                <a:spcPts val="0"/>
              </a:spcBef>
              <a:spcAft>
                <a:spcPts val="0"/>
              </a:spcAft>
              <a:tabLst/>
              <a:defRPr sz="825" b="0" i="0" u="none" strike="noStrike" kern="1200" baseline="0">
                <a:solidFill>
                  <a:srgbClr val="000000"/>
                </a:solidFill>
                <a:latin typeface="Calibri"/>
              </a:defRPr>
            </a:pPr>
            <a:endParaRPr lang="sl-SI"/>
          </a:p>
        </c:txPr>
        <c:crossAx val="268756312"/>
        <c:crossesAt val="0"/>
        <c:auto val="1"/>
        <c:lblAlgn val="ctr"/>
        <c:lblOffset val="100"/>
        <c:noMultiLvlLbl val="0"/>
      </c:catAx>
      <c:spPr>
        <a:noFill/>
        <a:ln w="12600">
          <a:solidFill>
            <a:srgbClr val="000000"/>
          </a:solidFill>
          <a:prstDash val="solid"/>
        </a:ln>
      </c:spPr>
    </c:plotArea>
    <c:legend>
      <c:legendPos val="r"/>
      <c:layout>
        <c:manualLayout>
          <c:xMode val="edge"/>
          <c:yMode val="edge"/>
          <c:x val="0.4363406106226918"/>
          <c:y val="0.8745685126446322"/>
        </c:manualLayout>
      </c:layout>
      <c:overlay val="0"/>
      <c:spPr>
        <a:solidFill>
          <a:srgbClr val="FFFFFF"/>
        </a:solidFill>
        <a:ln>
          <a:noFill/>
        </a:ln>
      </c:spPr>
      <c:txPr>
        <a:bodyPr lIns="0" tIns="0" rIns="0" bIns="0"/>
        <a:lstStyle/>
        <a:p>
          <a:pPr marL="0" marR="0" indent="0" defTabSz="914400" fontAlgn="auto" hangingPunct="1">
            <a:lnSpc>
              <a:spcPct val="100000"/>
            </a:lnSpc>
            <a:spcBef>
              <a:spcPts val="0"/>
            </a:spcBef>
            <a:spcAft>
              <a:spcPts val="0"/>
            </a:spcAft>
            <a:tabLst/>
            <a:defRPr sz="735" b="0" i="0" u="none" strike="noStrike" kern="1200" baseline="0">
              <a:solidFill>
                <a:srgbClr val="000000"/>
              </a:solidFill>
              <a:latin typeface="Calibri"/>
            </a:defRPr>
          </a:pPr>
          <a:endParaRPr lang="sl-SI"/>
        </a:p>
      </c:txPr>
    </c:legend>
    <c:plotVisOnly val="1"/>
    <c:dispBlanksAs val="gap"/>
    <c:showDLblsOverMax val="0"/>
  </c:chart>
  <c:spPr>
    <a:solidFill>
      <a:srgbClr val="FFFFFF"/>
    </a:solidFill>
    <a:ln>
      <a:noFill/>
    </a:ln>
  </c:spPr>
  <c:txPr>
    <a:bodyPr lIns="0" tIns="0" rIns="0" bIns="0"/>
    <a:lstStyle/>
    <a:p>
      <a:pPr marL="0" marR="0" indent="0" defTabSz="914400" fontAlgn="auto" hangingPunct="1">
        <a:lnSpc>
          <a:spcPct val="100000"/>
        </a:lnSpc>
        <a:spcBef>
          <a:spcPts val="0"/>
        </a:spcBef>
        <a:spcAft>
          <a:spcPts val="0"/>
        </a:spcAft>
        <a:tabLst/>
        <a:defRPr lang="sl-SI" sz="1000" b="0" i="0" u="none" strike="noStrike" kern="1200" baseline="0">
          <a:solidFill>
            <a:srgbClr val="000000"/>
          </a:solidFill>
          <a:latin typeface="Calibri"/>
        </a:defRPr>
      </a:pPr>
      <a:endParaRPr lang="sl-S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l-SI"/>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0.10739870211351357"/>
          <c:y val="5.3375304938123008E-2"/>
          <c:w val="0.84112127653597279"/>
          <c:h val="0.92517121329348284"/>
        </c:manualLayout>
      </c:layout>
      <c:barChart>
        <c:barDir val="bar"/>
        <c:grouping val="clustered"/>
        <c:varyColors val="0"/>
        <c:ser>
          <c:idx val="0"/>
          <c:order val="0"/>
          <c:spPr>
            <a:solidFill>
              <a:srgbClr val="9999FF"/>
            </a:solidFill>
            <a:ln w="12600">
              <a:solidFill>
                <a:srgbClr val="000000"/>
              </a:solidFill>
              <a:prstDash val="solid"/>
            </a:ln>
          </c:spPr>
          <c:invertIfNegative val="0"/>
          <c:val>
            <c:numRef>
              <c:f>Failure_Accumulation_Chart!$AL$10:$AL$12</c:f>
              <c:numCache>
                <c:formatCode>0.00%</c:formatCode>
                <c:ptCount val="3"/>
                <c:pt idx="0">
                  <c:v>0</c:v>
                </c:pt>
                <c:pt idx="2">
                  <c:v>0</c:v>
                </c:pt>
              </c:numCache>
            </c:numRef>
          </c:val>
          <c:extLst>
            <c:ext xmlns:c16="http://schemas.microsoft.com/office/drawing/2014/chart" uri="{C3380CC4-5D6E-409C-BE32-E72D297353CC}">
              <c16:uniqueId val="{00000000-D81D-4821-B4FC-0DB742AFD9C1}"/>
            </c:ext>
          </c:extLst>
        </c:ser>
        <c:dLbls>
          <c:showLegendKey val="0"/>
          <c:showVal val="0"/>
          <c:showCatName val="0"/>
          <c:showSerName val="0"/>
          <c:showPercent val="0"/>
          <c:showBubbleSize val="0"/>
        </c:dLbls>
        <c:gapWidth val="15"/>
        <c:axId val="271481776"/>
        <c:axId val="268967568"/>
      </c:barChart>
      <c:valAx>
        <c:axId val="268967568"/>
        <c:scaling>
          <c:orientation val="minMax"/>
          <c:max val="1"/>
        </c:scaling>
        <c:delete val="0"/>
        <c:axPos val="b"/>
        <c:majorGridlines>
          <c:spPr>
            <a:ln w="6345" cap="flat">
              <a:solidFill>
                <a:srgbClr val="000000"/>
              </a:solidFill>
              <a:prstDash val="solid"/>
              <a:round/>
            </a:ln>
          </c:spPr>
        </c:majorGridlines>
        <c:numFmt formatCode="0%" sourceLinked="0"/>
        <c:majorTickMark val="none"/>
        <c:minorTickMark val="none"/>
        <c:tickLblPos val="nextTo"/>
        <c:spPr>
          <a:noFill/>
          <a:ln>
            <a:noFill/>
          </a:ln>
        </c:spPr>
        <c:txPr>
          <a:bodyPr lIns="0" tIns="0" rIns="0" bIns="0"/>
          <a:lstStyle/>
          <a:p>
            <a:pPr marL="0" marR="0" indent="0" defTabSz="914400" fontAlgn="auto" hangingPunct="1">
              <a:lnSpc>
                <a:spcPct val="100000"/>
              </a:lnSpc>
              <a:spcBef>
                <a:spcPts val="0"/>
              </a:spcBef>
              <a:spcAft>
                <a:spcPts val="0"/>
              </a:spcAft>
              <a:tabLst/>
              <a:defRPr sz="975" b="0" i="0" u="none" strike="noStrike" kern="1200" baseline="0">
                <a:solidFill>
                  <a:srgbClr val="000000"/>
                </a:solidFill>
                <a:latin typeface="Calibri"/>
              </a:defRPr>
            </a:pPr>
            <a:endParaRPr lang="sl-SI"/>
          </a:p>
        </c:txPr>
        <c:crossAx val="271481776"/>
        <c:crosses val="max"/>
        <c:crossBetween val="between"/>
        <c:majorUnit val="0.2"/>
        <c:minorUnit val="0.02"/>
      </c:valAx>
      <c:catAx>
        <c:axId val="271481776"/>
        <c:scaling>
          <c:orientation val="maxMin"/>
        </c:scaling>
        <c:delete val="1"/>
        <c:axPos val="l"/>
        <c:majorTickMark val="none"/>
        <c:minorTickMark val="none"/>
        <c:tickLblPos val="nextTo"/>
        <c:crossAx val="268967568"/>
        <c:crossesAt val="0"/>
        <c:auto val="1"/>
        <c:lblAlgn val="ctr"/>
        <c:lblOffset val="100"/>
        <c:noMultiLvlLbl val="0"/>
      </c:catAx>
      <c:spPr>
        <a:noFill/>
        <a:ln w="12600">
          <a:solidFill>
            <a:srgbClr val="000000"/>
          </a:solidFill>
          <a:prstDash val="solid"/>
        </a:ln>
      </c:spPr>
    </c:plotArea>
    <c:plotVisOnly val="1"/>
    <c:dispBlanksAs val="gap"/>
    <c:showDLblsOverMax val="0"/>
  </c:chart>
  <c:spPr>
    <a:solidFill>
      <a:srgbClr val="FFFFFF"/>
    </a:solidFill>
    <a:ln>
      <a:noFill/>
    </a:ln>
  </c:spPr>
  <c:txPr>
    <a:bodyPr lIns="0" tIns="0" rIns="0" bIns="0"/>
    <a:lstStyle/>
    <a:p>
      <a:pPr marL="0" marR="0" indent="0" defTabSz="914400" fontAlgn="auto" hangingPunct="1">
        <a:lnSpc>
          <a:spcPct val="100000"/>
        </a:lnSpc>
        <a:spcBef>
          <a:spcPts val="0"/>
        </a:spcBef>
        <a:spcAft>
          <a:spcPts val="0"/>
        </a:spcAft>
        <a:tabLst/>
        <a:defRPr lang="sl-SI" sz="1000" b="0" i="0" u="none" strike="noStrike" kern="1200" baseline="0">
          <a:solidFill>
            <a:srgbClr val="000000"/>
          </a:solidFill>
          <a:latin typeface="Calibri"/>
        </a:defRPr>
      </a:pPr>
      <a:endParaRPr lang="sl-SI"/>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8</xdr:row>
          <xdr:rowOff>171450</xdr:rowOff>
        </xdr:from>
        <xdr:to>
          <xdr:col>2</xdr:col>
          <xdr:colOff>476250</xdr:colOff>
          <xdr:row>10</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9</xdr:row>
          <xdr:rowOff>171450</xdr:rowOff>
        </xdr:from>
        <xdr:to>
          <xdr:col>2</xdr:col>
          <xdr:colOff>466725</xdr:colOff>
          <xdr:row>11</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9</xdr:row>
          <xdr:rowOff>171450</xdr:rowOff>
        </xdr:from>
        <xdr:to>
          <xdr:col>7</xdr:col>
          <xdr:colOff>476250</xdr:colOff>
          <xdr:row>11</xdr:row>
          <xdr:rowOff>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8</xdr:row>
          <xdr:rowOff>180975</xdr:rowOff>
        </xdr:from>
        <xdr:to>
          <xdr:col>7</xdr:col>
          <xdr:colOff>476250</xdr:colOff>
          <xdr:row>10</xdr:row>
          <xdr:rowOff>9525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8</xdr:row>
          <xdr:rowOff>171450</xdr:rowOff>
        </xdr:from>
        <xdr:to>
          <xdr:col>11</xdr:col>
          <xdr:colOff>476250</xdr:colOff>
          <xdr:row>10</xdr:row>
          <xdr:rowOff>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9</xdr:row>
          <xdr:rowOff>180975</xdr:rowOff>
        </xdr:from>
        <xdr:to>
          <xdr:col>11</xdr:col>
          <xdr:colOff>476250</xdr:colOff>
          <xdr:row>11</xdr:row>
          <xdr:rowOff>9525</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95250</xdr:colOff>
      <xdr:row>4</xdr:row>
      <xdr:rowOff>47625</xdr:rowOff>
    </xdr:from>
    <xdr:to>
      <xdr:col>0</xdr:col>
      <xdr:colOff>257175</xdr:colOff>
      <xdr:row>4</xdr:row>
      <xdr:rowOff>190500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95250" y="838200"/>
          <a:ext cx="161925" cy="14287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609600</xdr:colOff>
      <xdr:row>4</xdr:row>
      <xdr:rowOff>47625</xdr:rowOff>
    </xdr:from>
    <xdr:to>
      <xdr:col>1</xdr:col>
      <xdr:colOff>771525</xdr:colOff>
      <xdr:row>4</xdr:row>
      <xdr:rowOff>190500</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1371600" y="838200"/>
          <a:ext cx="161925" cy="14287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114300</xdr:colOff>
      <xdr:row>4</xdr:row>
      <xdr:rowOff>47625</xdr:rowOff>
    </xdr:from>
    <xdr:to>
      <xdr:col>2</xdr:col>
      <xdr:colOff>276225</xdr:colOff>
      <xdr:row>4</xdr:row>
      <xdr:rowOff>190500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2495550" y="838200"/>
          <a:ext cx="161925" cy="14287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133350</xdr:colOff>
      <xdr:row>4</xdr:row>
      <xdr:rowOff>47625</xdr:rowOff>
    </xdr:from>
    <xdr:to>
      <xdr:col>2</xdr:col>
      <xdr:colOff>247650</xdr:colOff>
      <xdr:row>4</xdr:row>
      <xdr:rowOff>180975</xdr:rowOff>
    </xdr:to>
    <xdr:sp macro="" textlink="">
      <xdr:nvSpPr>
        <xdr:cNvPr id="5" name="Freeform 4">
          <a:extLst>
            <a:ext uri="{FF2B5EF4-FFF2-40B4-BE49-F238E27FC236}">
              <a16:creationId xmlns:a16="http://schemas.microsoft.com/office/drawing/2014/main" id="{00000000-0008-0000-0900-000005000000}"/>
            </a:ext>
          </a:extLst>
        </xdr:cNvPr>
        <xdr:cNvSpPr>
          <a:spLocks/>
        </xdr:cNvSpPr>
      </xdr:nvSpPr>
      <xdr:spPr bwMode="auto">
        <a:xfrm>
          <a:off x="2514600" y="838200"/>
          <a:ext cx="114300" cy="133350"/>
        </a:xfrm>
        <a:custGeom>
          <a:avLst/>
          <a:gdLst>
            <a:gd name="T0" fmla="*/ 0 w 29"/>
            <a:gd name="T1" fmla="*/ 2147483647 h 29"/>
            <a:gd name="T2" fmla="*/ 2147483647 w 29"/>
            <a:gd name="T3" fmla="*/ 2147483647 h 29"/>
            <a:gd name="T4" fmla="*/ 2147483647 w 29"/>
            <a:gd name="T5" fmla="*/ 0 h 29"/>
            <a:gd name="T6" fmla="*/ 0 60000 65536"/>
            <a:gd name="T7" fmla="*/ 0 60000 65536"/>
            <a:gd name="T8" fmla="*/ 0 60000 65536"/>
            <a:gd name="T9" fmla="*/ 0 w 29"/>
            <a:gd name="T10" fmla="*/ 0 h 29"/>
            <a:gd name="T11" fmla="*/ 29 w 29"/>
            <a:gd name="T12" fmla="*/ 29 h 29"/>
          </a:gdLst>
          <a:ahLst/>
          <a:cxnLst>
            <a:cxn ang="T6">
              <a:pos x="T0" y="T1"/>
            </a:cxn>
            <a:cxn ang="T7">
              <a:pos x="T2" y="T3"/>
            </a:cxn>
            <a:cxn ang="T8">
              <a:pos x="T4" y="T5"/>
            </a:cxn>
          </a:cxnLst>
          <a:rect l="T9" t="T10" r="T11" b="T12"/>
          <a:pathLst>
            <a:path w="29" h="29">
              <a:moveTo>
                <a:pt x="0" y="19"/>
              </a:moveTo>
              <a:lnTo>
                <a:pt x="13" y="29"/>
              </a:lnTo>
              <a:lnTo>
                <a:pt x="29" y="0"/>
              </a:lnTo>
            </a:path>
          </a:pathLst>
        </a:custGeom>
        <a:noFill/>
        <a:ln w="222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76200</xdr:colOff>
      <xdr:row>1</xdr:row>
      <xdr:rowOff>0</xdr:rowOff>
    </xdr:from>
    <xdr:ext cx="98422" cy="571628"/>
    <xdr:sp macro="" textlink="" fLocksText="0">
      <xdr:nvSpPr>
        <xdr:cNvPr id="2" name="Text Box 76">
          <a:extLst>
            <a:ext uri="{FF2B5EF4-FFF2-40B4-BE49-F238E27FC236}">
              <a16:creationId xmlns:a16="http://schemas.microsoft.com/office/drawing/2014/main" id="{00000000-0008-0000-0B00-000002000000}"/>
            </a:ext>
          </a:extLst>
        </xdr:cNvPr>
        <xdr:cNvSpPr txBox="1">
          <a:spLocks noChangeArrowheads="1"/>
        </xdr:cNvSpPr>
      </xdr:nvSpPr>
      <xdr:spPr bwMode="auto">
        <a:xfrm>
          <a:off x="76200" y="57150"/>
          <a:ext cx="98422" cy="571628"/>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0160" tIns="20160" rIns="20160" bIns="20160" anchor="t">
          <a:spAutoFit/>
        </a:bodyPr>
        <a:lstStyle/>
        <a:p>
          <a:pPr algn="l" rtl="0">
            <a:defRPr sz="1000"/>
          </a:pPr>
          <a:r>
            <a:rPr lang="sl-SI" sz="1800" b="0" i="0" u="none" strike="noStrike" baseline="0">
              <a:solidFill>
                <a:srgbClr val="000080"/>
              </a:solidFill>
              <a:latin typeface="Times New Roman"/>
              <a:cs typeface="Times New Roman"/>
            </a:rPr>
            <a:t> </a:t>
          </a:r>
        </a:p>
        <a:p>
          <a:pPr algn="l" rtl="0">
            <a:defRPr sz="1000"/>
          </a:pPr>
          <a:endParaRPr lang="sl-SI" sz="1800" b="0" i="0" u="none" strike="noStrike" baseline="0">
            <a:solidFill>
              <a:srgbClr val="000080"/>
            </a:solidFill>
            <a:latin typeface="Times New Roman"/>
            <a:cs typeface="Times New Roman"/>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2</xdr:row>
      <xdr:rowOff>28575</xdr:rowOff>
    </xdr:from>
    <xdr:to>
      <xdr:col>0</xdr:col>
      <xdr:colOff>257175</xdr:colOff>
      <xdr:row>3</xdr:row>
      <xdr:rowOff>9525</xdr:rowOff>
    </xdr:to>
    <xdr:pic>
      <xdr:nvPicPr>
        <xdr:cNvPr id="2" name="Picture 24" descr="2065156">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5725" y="419100"/>
          <a:ext cx="171450" cy="171450"/>
        </a:xfrm>
        <a:prstGeom prst="rect">
          <a:avLst/>
        </a:prstGeom>
        <a:noFill/>
        <a:ln w="9525">
          <a:noFill/>
          <a:miter lim="800000"/>
          <a:headEnd/>
          <a:tailEnd/>
        </a:ln>
      </xdr:spPr>
    </xdr:pic>
    <xdr:clientData/>
  </xdr:twoCellAnchor>
  <xdr:twoCellAnchor editAs="oneCell">
    <xdr:from>
      <xdr:col>0</xdr:col>
      <xdr:colOff>114300</xdr:colOff>
      <xdr:row>3</xdr:row>
      <xdr:rowOff>9525</xdr:rowOff>
    </xdr:from>
    <xdr:to>
      <xdr:col>0</xdr:col>
      <xdr:colOff>295275</xdr:colOff>
      <xdr:row>4</xdr:row>
      <xdr:rowOff>0</xdr:rowOff>
    </xdr:to>
    <xdr:pic>
      <xdr:nvPicPr>
        <xdr:cNvPr id="3" name="Picture 28" descr="fi">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4300" y="590550"/>
          <a:ext cx="180975" cy="180975"/>
        </a:xfrm>
        <a:prstGeom prst="rect">
          <a:avLst/>
        </a:prstGeom>
        <a:noFill/>
        <a:ln w="9525">
          <a:noFill/>
          <a:miter lim="800000"/>
          <a:headEnd/>
          <a:tailEnd/>
        </a:ln>
      </xdr:spPr>
    </xdr:pic>
    <xdr:clientData/>
  </xdr:twoCellAnchor>
  <xdr:twoCellAnchor editAs="oneCell">
    <xdr:from>
      <xdr:col>0</xdr:col>
      <xdr:colOff>104775</xdr:colOff>
      <xdr:row>4</xdr:row>
      <xdr:rowOff>9525</xdr:rowOff>
    </xdr:from>
    <xdr:to>
      <xdr:col>0</xdr:col>
      <xdr:colOff>295275</xdr:colOff>
      <xdr:row>5</xdr:row>
      <xdr:rowOff>0</xdr:rowOff>
    </xdr:to>
    <xdr:pic>
      <xdr:nvPicPr>
        <xdr:cNvPr id="4" name="Picture 30" descr="center">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4775" y="781050"/>
          <a:ext cx="190500" cy="180975"/>
        </a:xfrm>
        <a:prstGeom prst="rect">
          <a:avLst/>
        </a:prstGeom>
        <a:noFill/>
        <a:ln w="9525">
          <a:noFill/>
          <a:miter lim="800000"/>
          <a:headEnd/>
          <a:tailEnd/>
        </a:ln>
      </xdr:spPr>
    </xdr:pic>
    <xdr:clientData/>
  </xdr:twoCellAnchor>
  <xdr:twoCellAnchor editAs="oneCell">
    <xdr:from>
      <xdr:col>0</xdr:col>
      <xdr:colOff>104775</xdr:colOff>
      <xdr:row>5</xdr:row>
      <xdr:rowOff>9525</xdr:rowOff>
    </xdr:from>
    <xdr:to>
      <xdr:col>0</xdr:col>
      <xdr:colOff>304800</xdr:colOff>
      <xdr:row>6</xdr:row>
      <xdr:rowOff>9525</xdr:rowOff>
    </xdr:to>
    <xdr:pic>
      <xdr:nvPicPr>
        <xdr:cNvPr id="5" name="Picture 32" descr="krog">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4775" y="971550"/>
          <a:ext cx="200025" cy="190500"/>
        </a:xfrm>
        <a:prstGeom prst="rect">
          <a:avLst/>
        </a:prstGeom>
        <a:noFill/>
        <a:ln w="9525">
          <a:noFill/>
          <a:miter lim="800000"/>
          <a:headEnd/>
          <a:tailEnd/>
        </a:ln>
      </xdr:spPr>
    </xdr:pic>
    <xdr:clientData/>
  </xdr:twoCellAnchor>
  <xdr:twoCellAnchor editAs="oneCell">
    <xdr:from>
      <xdr:col>0</xdr:col>
      <xdr:colOff>114300</xdr:colOff>
      <xdr:row>6</xdr:row>
      <xdr:rowOff>9525</xdr:rowOff>
    </xdr:from>
    <xdr:to>
      <xdr:col>0</xdr:col>
      <xdr:colOff>295275</xdr:colOff>
      <xdr:row>6</xdr:row>
      <xdr:rowOff>161925</xdr:rowOff>
    </xdr:to>
    <xdr:pic>
      <xdr:nvPicPr>
        <xdr:cNvPr id="6" name="Picture 40" descr="ravnost">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14300" y="1162050"/>
          <a:ext cx="180975" cy="152400"/>
        </a:xfrm>
        <a:prstGeom prst="rect">
          <a:avLst/>
        </a:prstGeom>
        <a:noFill/>
        <a:ln w="9525">
          <a:noFill/>
          <a:miter lim="800000"/>
          <a:headEnd/>
          <a:tailEnd/>
        </a:ln>
      </xdr:spPr>
    </xdr:pic>
    <xdr:clientData/>
  </xdr:twoCellAnchor>
  <xdr:twoCellAnchor editAs="oneCell">
    <xdr:from>
      <xdr:col>0</xdr:col>
      <xdr:colOff>104775</xdr:colOff>
      <xdr:row>7</xdr:row>
      <xdr:rowOff>19050</xdr:rowOff>
    </xdr:from>
    <xdr:to>
      <xdr:col>0</xdr:col>
      <xdr:colOff>285750</xdr:colOff>
      <xdr:row>8</xdr:row>
      <xdr:rowOff>0</xdr:rowOff>
    </xdr:to>
    <xdr:pic>
      <xdr:nvPicPr>
        <xdr:cNvPr id="7" name="Picture 44" descr="45054">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04775" y="1362075"/>
          <a:ext cx="180975" cy="171450"/>
        </a:xfrm>
        <a:prstGeom prst="rect">
          <a:avLst/>
        </a:prstGeom>
        <a:noFill/>
        <a:ln w="9525">
          <a:noFill/>
          <a:miter lim="800000"/>
          <a:headEnd/>
          <a:tailEnd/>
        </a:ln>
      </xdr:spPr>
    </xdr:pic>
    <xdr:clientData/>
  </xdr:twoCellAnchor>
  <xdr:twoCellAnchor editAs="oneCell">
    <xdr:from>
      <xdr:col>0</xdr:col>
      <xdr:colOff>104775</xdr:colOff>
      <xdr:row>8</xdr:row>
      <xdr:rowOff>19050</xdr:rowOff>
    </xdr:from>
    <xdr:to>
      <xdr:col>0</xdr:col>
      <xdr:colOff>295275</xdr:colOff>
      <xdr:row>9</xdr:row>
      <xdr:rowOff>9525</xdr:rowOff>
    </xdr:to>
    <xdr:pic>
      <xdr:nvPicPr>
        <xdr:cNvPr id="8" name="Picture 47" descr="05156145">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04775" y="1552575"/>
          <a:ext cx="190500" cy="180975"/>
        </a:xfrm>
        <a:prstGeom prst="rect">
          <a:avLst/>
        </a:prstGeom>
        <a:noFill/>
        <a:ln w="9525">
          <a:noFill/>
          <a:miter lim="800000"/>
          <a:headEnd/>
          <a:tailEnd/>
        </a:ln>
      </xdr:spPr>
    </xdr:pic>
    <xdr:clientData/>
  </xdr:twoCellAnchor>
  <xdr:twoCellAnchor editAs="oneCell">
    <xdr:from>
      <xdr:col>0</xdr:col>
      <xdr:colOff>114300</xdr:colOff>
      <xdr:row>9</xdr:row>
      <xdr:rowOff>28575</xdr:rowOff>
    </xdr:from>
    <xdr:to>
      <xdr:col>0</xdr:col>
      <xdr:colOff>285750</xdr:colOff>
      <xdr:row>10</xdr:row>
      <xdr:rowOff>9525</xdr:rowOff>
    </xdr:to>
    <xdr:pic>
      <xdr:nvPicPr>
        <xdr:cNvPr id="9" name="Picture 49" descr="0515489">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14300" y="1752600"/>
          <a:ext cx="171450" cy="171450"/>
        </a:xfrm>
        <a:prstGeom prst="rect">
          <a:avLst/>
        </a:prstGeom>
        <a:noFill/>
        <a:ln w="9525">
          <a:noFill/>
          <a:miter lim="800000"/>
          <a:headEnd/>
          <a:tailEnd/>
        </a:ln>
      </xdr:spPr>
    </xdr:pic>
    <xdr:clientData/>
  </xdr:twoCellAnchor>
  <xdr:twoCellAnchor editAs="oneCell">
    <xdr:from>
      <xdr:col>0</xdr:col>
      <xdr:colOff>114300</xdr:colOff>
      <xdr:row>10</xdr:row>
      <xdr:rowOff>19050</xdr:rowOff>
    </xdr:from>
    <xdr:to>
      <xdr:col>0</xdr:col>
      <xdr:colOff>285750</xdr:colOff>
      <xdr:row>11</xdr:row>
      <xdr:rowOff>0</xdr:rowOff>
    </xdr:to>
    <xdr:pic>
      <xdr:nvPicPr>
        <xdr:cNvPr id="10" name="Picture 51" descr="pravokotnost">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14300" y="1933575"/>
          <a:ext cx="171450" cy="171450"/>
        </a:xfrm>
        <a:prstGeom prst="rect">
          <a:avLst/>
        </a:prstGeom>
        <a:noFill/>
        <a:ln w="9525">
          <a:noFill/>
          <a:miter lim="800000"/>
          <a:headEnd/>
          <a:tailEnd/>
        </a:ln>
      </xdr:spPr>
    </xdr:pic>
    <xdr:clientData/>
  </xdr:twoCellAnchor>
  <xdr:twoCellAnchor editAs="oneCell">
    <xdr:from>
      <xdr:col>0</xdr:col>
      <xdr:colOff>133350</xdr:colOff>
      <xdr:row>11</xdr:row>
      <xdr:rowOff>19050</xdr:rowOff>
    </xdr:from>
    <xdr:to>
      <xdr:col>0</xdr:col>
      <xdr:colOff>304800</xdr:colOff>
      <xdr:row>12</xdr:row>
      <xdr:rowOff>0</xdr:rowOff>
    </xdr:to>
    <xdr:pic>
      <xdr:nvPicPr>
        <xdr:cNvPr id="11" name="Picture 53" descr="0549878">
          <a:extLst>
            <a:ext uri="{FF2B5EF4-FFF2-40B4-BE49-F238E27FC236}">
              <a16:creationId xmlns:a16="http://schemas.microsoft.com/office/drawing/2014/main" id="{00000000-0008-0000-1300-00000B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33350" y="2124075"/>
          <a:ext cx="171450" cy="171450"/>
        </a:xfrm>
        <a:prstGeom prst="rect">
          <a:avLst/>
        </a:prstGeom>
        <a:noFill/>
        <a:ln w="9525">
          <a:noFill/>
          <a:miter lim="800000"/>
          <a:headEnd/>
          <a:tailEnd/>
        </a:ln>
      </xdr:spPr>
    </xdr:pic>
    <xdr:clientData/>
  </xdr:twoCellAnchor>
  <xdr:twoCellAnchor editAs="oneCell">
    <xdr:from>
      <xdr:col>0</xdr:col>
      <xdr:colOff>114300</xdr:colOff>
      <xdr:row>12</xdr:row>
      <xdr:rowOff>9525</xdr:rowOff>
    </xdr:from>
    <xdr:to>
      <xdr:col>0</xdr:col>
      <xdr:colOff>304800</xdr:colOff>
      <xdr:row>13</xdr:row>
      <xdr:rowOff>9525</xdr:rowOff>
    </xdr:to>
    <xdr:pic>
      <xdr:nvPicPr>
        <xdr:cNvPr id="12" name="Picture 55" descr="0548748">
          <a:extLst>
            <a:ext uri="{FF2B5EF4-FFF2-40B4-BE49-F238E27FC236}">
              <a16:creationId xmlns:a16="http://schemas.microsoft.com/office/drawing/2014/main" id="{00000000-0008-0000-1300-00000C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14300" y="2305050"/>
          <a:ext cx="190500" cy="190500"/>
        </a:xfrm>
        <a:prstGeom prst="rect">
          <a:avLst/>
        </a:prstGeom>
        <a:noFill/>
        <a:ln w="9525">
          <a:noFill/>
          <a:miter lim="800000"/>
          <a:headEnd/>
          <a:tailEnd/>
        </a:ln>
      </xdr:spPr>
    </xdr:pic>
    <xdr:clientData/>
  </xdr:twoCellAnchor>
  <xdr:twoCellAnchor editAs="oneCell">
    <xdr:from>
      <xdr:col>0</xdr:col>
      <xdr:colOff>95250</xdr:colOff>
      <xdr:row>13</xdr:row>
      <xdr:rowOff>28575</xdr:rowOff>
    </xdr:from>
    <xdr:to>
      <xdr:col>0</xdr:col>
      <xdr:colOff>295275</xdr:colOff>
      <xdr:row>13</xdr:row>
      <xdr:rowOff>133350</xdr:rowOff>
    </xdr:to>
    <xdr:pic>
      <xdr:nvPicPr>
        <xdr:cNvPr id="13" name="Picture 57" descr="fgdfgfdgd">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95250" y="2514600"/>
          <a:ext cx="200025" cy="104775"/>
        </a:xfrm>
        <a:prstGeom prst="rect">
          <a:avLst/>
        </a:prstGeom>
        <a:noFill/>
        <a:ln w="9525">
          <a:noFill/>
          <a:miter lim="800000"/>
          <a:headEnd/>
          <a:tailEnd/>
        </a:ln>
      </xdr:spPr>
    </xdr:pic>
    <xdr:clientData/>
  </xdr:twoCellAnchor>
  <xdr:twoCellAnchor editAs="oneCell">
    <xdr:from>
      <xdr:col>0</xdr:col>
      <xdr:colOff>95250</xdr:colOff>
      <xdr:row>14</xdr:row>
      <xdr:rowOff>38100</xdr:rowOff>
    </xdr:from>
    <xdr:to>
      <xdr:col>0</xdr:col>
      <xdr:colOff>295275</xdr:colOff>
      <xdr:row>14</xdr:row>
      <xdr:rowOff>133350</xdr:rowOff>
    </xdr:to>
    <xdr:pic>
      <xdr:nvPicPr>
        <xdr:cNvPr id="14" name="Picture 61" descr="dgerdgrds">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95250" y="2714625"/>
          <a:ext cx="200025" cy="95250"/>
        </a:xfrm>
        <a:prstGeom prst="rect">
          <a:avLst/>
        </a:prstGeom>
        <a:noFill/>
        <a:ln w="9525">
          <a:noFill/>
          <a:miter lim="800000"/>
          <a:headEnd/>
          <a:tailEnd/>
        </a:ln>
      </xdr:spPr>
    </xdr:pic>
    <xdr:clientData/>
  </xdr:twoCellAnchor>
  <xdr:twoCellAnchor editAs="oneCell">
    <xdr:from>
      <xdr:col>0</xdr:col>
      <xdr:colOff>142875</xdr:colOff>
      <xdr:row>15</xdr:row>
      <xdr:rowOff>19050</xdr:rowOff>
    </xdr:from>
    <xdr:to>
      <xdr:col>0</xdr:col>
      <xdr:colOff>266700</xdr:colOff>
      <xdr:row>15</xdr:row>
      <xdr:rowOff>114300</xdr:rowOff>
    </xdr:to>
    <xdr:pic>
      <xdr:nvPicPr>
        <xdr:cNvPr id="15" name="Picture 79" descr="stopinje">
          <a:extLst>
            <a:ext uri="{FF2B5EF4-FFF2-40B4-BE49-F238E27FC236}">
              <a16:creationId xmlns:a16="http://schemas.microsoft.com/office/drawing/2014/main" id="{00000000-0008-0000-1300-00000F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142875" y="2886075"/>
          <a:ext cx="123825" cy="9525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103320</xdr:colOff>
      <xdr:row>21</xdr:row>
      <xdr:rowOff>67320</xdr:rowOff>
    </xdr:from>
    <xdr:ext cx="3087000" cy="927359"/>
    <xdr:sp macro="" textlink="">
      <xdr:nvSpPr>
        <xdr:cNvPr id="2" name="Rectangle 1">
          <a:extLst>
            <a:ext uri="{FF2B5EF4-FFF2-40B4-BE49-F238E27FC236}">
              <a16:creationId xmlns:a16="http://schemas.microsoft.com/office/drawing/2014/main" id="{00000000-0008-0000-1600-000002000000}"/>
            </a:ext>
          </a:extLst>
        </xdr:cNvPr>
        <xdr:cNvSpPr/>
      </xdr:nvSpPr>
      <xdr:spPr>
        <a:xfrm>
          <a:off x="103320" y="3867795"/>
          <a:ext cx="3087000" cy="927359"/>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171720</xdr:colOff>
      <xdr:row>21</xdr:row>
      <xdr:rowOff>110880</xdr:rowOff>
    </xdr:from>
    <xdr:ext cx="128160" cy="128160"/>
    <xdr:sp macro="" textlink="">
      <xdr:nvSpPr>
        <xdr:cNvPr id="3" name="Rectangle 2">
          <a:extLst>
            <a:ext uri="{FF2B5EF4-FFF2-40B4-BE49-F238E27FC236}">
              <a16:creationId xmlns:a16="http://schemas.microsoft.com/office/drawing/2014/main" id="{00000000-0008-0000-1600-000003000000}"/>
            </a:ext>
          </a:extLst>
        </xdr:cNvPr>
        <xdr:cNvSpPr/>
      </xdr:nvSpPr>
      <xdr:spPr>
        <a:xfrm>
          <a:off x="171720" y="3911355"/>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2.</a:t>
          </a:r>
        </a:p>
      </xdr:txBody>
    </xdr:sp>
    <xdr:clientData/>
  </xdr:oneCellAnchor>
  <xdr:oneCellAnchor>
    <xdr:from>
      <xdr:col>0</xdr:col>
      <xdr:colOff>307800</xdr:colOff>
      <xdr:row>21</xdr:row>
      <xdr:rowOff>110880</xdr:rowOff>
    </xdr:from>
    <xdr:ext cx="1029959" cy="128160"/>
    <xdr:sp macro="" textlink="">
      <xdr:nvSpPr>
        <xdr:cNvPr id="4" name="Rectangle 3">
          <a:extLst>
            <a:ext uri="{FF2B5EF4-FFF2-40B4-BE49-F238E27FC236}">
              <a16:creationId xmlns:a16="http://schemas.microsoft.com/office/drawing/2014/main" id="{00000000-0008-0000-1600-000004000000}"/>
            </a:ext>
          </a:extLst>
        </xdr:cNvPr>
        <xdr:cNvSpPr/>
      </xdr:nvSpPr>
      <xdr:spPr>
        <a:xfrm>
          <a:off x="307800" y="3911355"/>
          <a:ext cx="1029959"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Use Team Approach</a:t>
          </a:r>
        </a:p>
      </xdr:txBody>
    </xdr:sp>
    <xdr:clientData/>
  </xdr:oneCellAnchor>
  <xdr:oneCellAnchor>
    <xdr:from>
      <xdr:col>0</xdr:col>
      <xdr:colOff>303120</xdr:colOff>
      <xdr:row>22</xdr:row>
      <xdr:rowOff>76680</xdr:rowOff>
    </xdr:from>
    <xdr:ext cx="1105199" cy="9360"/>
    <xdr:sp macro="" textlink="">
      <xdr:nvSpPr>
        <xdr:cNvPr id="5" name="Line 4">
          <a:extLst>
            <a:ext uri="{FF2B5EF4-FFF2-40B4-BE49-F238E27FC236}">
              <a16:creationId xmlns:a16="http://schemas.microsoft.com/office/drawing/2014/main" id="{00000000-0008-0000-1600-000005000000}"/>
            </a:ext>
          </a:extLst>
        </xdr:cNvPr>
        <xdr:cNvSpPr/>
      </xdr:nvSpPr>
      <xdr:spPr>
        <a:xfrm>
          <a:off x="303120" y="4058130"/>
          <a:ext cx="1105199"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285840</xdr:colOff>
      <xdr:row>22</xdr:row>
      <xdr:rowOff>103320</xdr:rowOff>
    </xdr:from>
    <xdr:ext cx="56520" cy="124560"/>
    <xdr:sp macro="" textlink="">
      <xdr:nvSpPr>
        <xdr:cNvPr id="6" name="Rectangle 5">
          <a:extLst>
            <a:ext uri="{FF2B5EF4-FFF2-40B4-BE49-F238E27FC236}">
              <a16:creationId xmlns:a16="http://schemas.microsoft.com/office/drawing/2014/main" id="{00000000-0008-0000-1600-000006000000}"/>
            </a:ext>
          </a:extLst>
        </xdr:cNvPr>
        <xdr:cNvSpPr/>
      </xdr:nvSpPr>
      <xdr:spPr>
        <a:xfrm>
          <a:off x="285840" y="408477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409680</xdr:colOff>
      <xdr:row>22</xdr:row>
      <xdr:rowOff>103320</xdr:rowOff>
    </xdr:from>
    <xdr:ext cx="1765800" cy="113760"/>
    <xdr:sp macro="" textlink="">
      <xdr:nvSpPr>
        <xdr:cNvPr id="7" name="Rectangle 6">
          <a:extLst>
            <a:ext uri="{FF2B5EF4-FFF2-40B4-BE49-F238E27FC236}">
              <a16:creationId xmlns:a16="http://schemas.microsoft.com/office/drawing/2014/main" id="{00000000-0008-0000-1600-000007000000}"/>
            </a:ext>
          </a:extLst>
        </xdr:cNvPr>
        <xdr:cNvSpPr/>
      </xdr:nvSpPr>
      <xdr:spPr>
        <a:xfrm>
          <a:off x="409680" y="4084770"/>
          <a:ext cx="1765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Assemble a small group of people with:</a:t>
          </a:r>
        </a:p>
      </xdr:txBody>
    </xdr:sp>
    <xdr:clientData/>
  </xdr:oneCellAnchor>
  <xdr:oneCellAnchor>
    <xdr:from>
      <xdr:col>0</xdr:col>
      <xdr:colOff>523799</xdr:colOff>
      <xdr:row>23</xdr:row>
      <xdr:rowOff>67320</xdr:rowOff>
    </xdr:from>
    <xdr:ext cx="356040" cy="113760"/>
    <xdr:sp macro="" textlink="">
      <xdr:nvSpPr>
        <xdr:cNvPr id="8" name="Rectangle 7">
          <a:extLst>
            <a:ext uri="{FF2B5EF4-FFF2-40B4-BE49-F238E27FC236}">
              <a16:creationId xmlns:a16="http://schemas.microsoft.com/office/drawing/2014/main" id="{00000000-0008-0000-1600-000008000000}"/>
            </a:ext>
          </a:extLst>
        </xdr:cNvPr>
        <xdr:cNvSpPr/>
      </xdr:nvSpPr>
      <xdr:spPr>
        <a:xfrm>
          <a:off x="523799" y="4229745"/>
          <a:ext cx="3560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cross</a:t>
          </a:r>
        </a:p>
      </xdr:txBody>
    </xdr:sp>
    <xdr:clientData/>
  </xdr:oneCellAnchor>
  <xdr:oneCellAnchor>
    <xdr:from>
      <xdr:col>1</xdr:col>
      <xdr:colOff>278280</xdr:colOff>
      <xdr:row>23</xdr:row>
      <xdr:rowOff>67320</xdr:rowOff>
    </xdr:from>
    <xdr:ext cx="34560" cy="113760"/>
    <xdr:sp macro="" textlink="">
      <xdr:nvSpPr>
        <xdr:cNvPr id="9" name="Rectangle 8">
          <a:extLst>
            <a:ext uri="{FF2B5EF4-FFF2-40B4-BE49-F238E27FC236}">
              <a16:creationId xmlns:a16="http://schemas.microsoft.com/office/drawing/2014/main" id="{00000000-0008-0000-1600-000009000000}"/>
            </a:ext>
          </a:extLst>
        </xdr:cNvPr>
        <xdr:cNvSpPr/>
      </xdr:nvSpPr>
      <xdr:spPr>
        <a:xfrm>
          <a:off x="887880" y="422974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1</xdr:col>
      <xdr:colOff>307080</xdr:colOff>
      <xdr:row>23</xdr:row>
      <xdr:rowOff>67320</xdr:rowOff>
    </xdr:from>
    <xdr:ext cx="1111680" cy="113760"/>
    <xdr:sp macro="" textlink="">
      <xdr:nvSpPr>
        <xdr:cNvPr id="10" name="Rectangle 9">
          <a:extLst>
            <a:ext uri="{FF2B5EF4-FFF2-40B4-BE49-F238E27FC236}">
              <a16:creationId xmlns:a16="http://schemas.microsoft.com/office/drawing/2014/main" id="{00000000-0008-0000-1600-00000A000000}"/>
            </a:ext>
          </a:extLst>
        </xdr:cNvPr>
        <xdr:cNvSpPr/>
      </xdr:nvSpPr>
      <xdr:spPr>
        <a:xfrm>
          <a:off x="916680" y="4229745"/>
          <a:ext cx="11116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functional representation</a:t>
          </a:r>
        </a:p>
      </xdr:txBody>
    </xdr:sp>
    <xdr:clientData/>
  </xdr:oneCellAnchor>
  <xdr:oneCellAnchor>
    <xdr:from>
      <xdr:col>0</xdr:col>
      <xdr:colOff>530280</xdr:colOff>
      <xdr:row>24</xdr:row>
      <xdr:rowOff>29160</xdr:rowOff>
    </xdr:from>
    <xdr:ext cx="1517760" cy="113760"/>
    <xdr:sp macro="" textlink="">
      <xdr:nvSpPr>
        <xdr:cNvPr id="11" name="Rectangle 10">
          <a:extLst>
            <a:ext uri="{FF2B5EF4-FFF2-40B4-BE49-F238E27FC236}">
              <a16:creationId xmlns:a16="http://schemas.microsoft.com/office/drawing/2014/main" id="{00000000-0008-0000-1600-00000B000000}"/>
            </a:ext>
          </a:extLst>
        </xdr:cNvPr>
        <xdr:cNvSpPr/>
      </xdr:nvSpPr>
      <xdr:spPr>
        <a:xfrm>
          <a:off x="530280" y="4372560"/>
          <a:ext cx="15177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the process/product knowledge</a:t>
          </a:r>
        </a:p>
      </xdr:txBody>
    </xdr:sp>
    <xdr:clientData/>
  </xdr:oneCellAnchor>
  <xdr:oneCellAnchor>
    <xdr:from>
      <xdr:col>0</xdr:col>
      <xdr:colOff>532440</xdr:colOff>
      <xdr:row>24</xdr:row>
      <xdr:rowOff>160920</xdr:rowOff>
    </xdr:from>
    <xdr:ext cx="1827720" cy="113760"/>
    <xdr:sp macro="" textlink="">
      <xdr:nvSpPr>
        <xdr:cNvPr id="12" name="Rectangle 11">
          <a:extLst>
            <a:ext uri="{FF2B5EF4-FFF2-40B4-BE49-F238E27FC236}">
              <a16:creationId xmlns:a16="http://schemas.microsoft.com/office/drawing/2014/main" id="{00000000-0008-0000-1600-00000C000000}"/>
            </a:ext>
          </a:extLst>
        </xdr:cNvPr>
        <xdr:cNvSpPr/>
      </xdr:nvSpPr>
      <xdr:spPr>
        <a:xfrm>
          <a:off x="532440" y="4504320"/>
          <a:ext cx="18277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defined boundaries and allocated time</a:t>
          </a:r>
        </a:p>
      </xdr:txBody>
    </xdr:sp>
    <xdr:clientData/>
  </xdr:oneCellAnchor>
  <xdr:oneCellAnchor>
    <xdr:from>
      <xdr:col>0</xdr:col>
      <xdr:colOff>533880</xdr:colOff>
      <xdr:row>25</xdr:row>
      <xdr:rowOff>128160</xdr:rowOff>
    </xdr:from>
    <xdr:ext cx="2058480" cy="113760"/>
    <xdr:sp macro="" textlink="">
      <xdr:nvSpPr>
        <xdr:cNvPr id="13" name="Rectangle 12">
          <a:extLst>
            <a:ext uri="{FF2B5EF4-FFF2-40B4-BE49-F238E27FC236}">
              <a16:creationId xmlns:a16="http://schemas.microsoft.com/office/drawing/2014/main" id="{00000000-0008-0000-1600-00000D000000}"/>
            </a:ext>
          </a:extLst>
        </xdr:cNvPr>
        <xdr:cNvSpPr/>
      </xdr:nvSpPr>
      <xdr:spPr>
        <a:xfrm>
          <a:off x="533880" y="4652535"/>
          <a:ext cx="2058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the skills and authority to solve the problem</a:t>
          </a:r>
        </a:p>
      </xdr:txBody>
    </xdr:sp>
    <xdr:clientData/>
  </xdr:oneCellAnchor>
  <xdr:oneCellAnchor>
    <xdr:from>
      <xdr:col>0</xdr:col>
      <xdr:colOff>103320</xdr:colOff>
      <xdr:row>3</xdr:row>
      <xdr:rowOff>48240</xdr:rowOff>
    </xdr:from>
    <xdr:ext cx="3087000" cy="2658240"/>
    <xdr:sp macro="" textlink="">
      <xdr:nvSpPr>
        <xdr:cNvPr id="14" name="Rectangle 13">
          <a:extLst>
            <a:ext uri="{FF2B5EF4-FFF2-40B4-BE49-F238E27FC236}">
              <a16:creationId xmlns:a16="http://schemas.microsoft.com/office/drawing/2014/main" id="{00000000-0008-0000-1600-00000E000000}"/>
            </a:ext>
          </a:extLst>
        </xdr:cNvPr>
        <xdr:cNvSpPr/>
      </xdr:nvSpPr>
      <xdr:spPr>
        <a:xfrm>
          <a:off x="103320" y="591165"/>
          <a:ext cx="3087000" cy="265824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171720</xdr:colOff>
      <xdr:row>3</xdr:row>
      <xdr:rowOff>97560</xdr:rowOff>
    </xdr:from>
    <xdr:ext cx="128160" cy="128160"/>
    <xdr:sp macro="" textlink="">
      <xdr:nvSpPr>
        <xdr:cNvPr id="15" name="Rectangle 14">
          <a:extLst>
            <a:ext uri="{FF2B5EF4-FFF2-40B4-BE49-F238E27FC236}">
              <a16:creationId xmlns:a16="http://schemas.microsoft.com/office/drawing/2014/main" id="{00000000-0008-0000-1600-00000F000000}"/>
            </a:ext>
          </a:extLst>
        </xdr:cNvPr>
        <xdr:cNvSpPr/>
      </xdr:nvSpPr>
      <xdr:spPr>
        <a:xfrm>
          <a:off x="171720" y="640485"/>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1.</a:t>
          </a:r>
        </a:p>
      </xdr:txBody>
    </xdr:sp>
    <xdr:clientData/>
  </xdr:oneCellAnchor>
  <xdr:oneCellAnchor>
    <xdr:from>
      <xdr:col>0</xdr:col>
      <xdr:colOff>297360</xdr:colOff>
      <xdr:row>3</xdr:row>
      <xdr:rowOff>97560</xdr:rowOff>
    </xdr:from>
    <xdr:ext cx="1101960" cy="128160"/>
    <xdr:sp macro="" textlink="">
      <xdr:nvSpPr>
        <xdr:cNvPr id="16" name="Rectangle 15">
          <a:extLst>
            <a:ext uri="{FF2B5EF4-FFF2-40B4-BE49-F238E27FC236}">
              <a16:creationId xmlns:a16="http://schemas.microsoft.com/office/drawing/2014/main" id="{00000000-0008-0000-1600-000010000000}"/>
            </a:ext>
          </a:extLst>
        </xdr:cNvPr>
        <xdr:cNvSpPr/>
      </xdr:nvSpPr>
      <xdr:spPr>
        <a:xfrm>
          <a:off x="297360" y="640485"/>
          <a:ext cx="11019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Describe the Problem</a:t>
          </a:r>
        </a:p>
      </xdr:txBody>
    </xdr:sp>
    <xdr:clientData/>
  </xdr:oneCellAnchor>
  <xdr:oneCellAnchor>
    <xdr:from>
      <xdr:col>0</xdr:col>
      <xdr:colOff>303120</xdr:colOff>
      <xdr:row>4</xdr:row>
      <xdr:rowOff>57600</xdr:rowOff>
    </xdr:from>
    <xdr:ext cx="1172160" cy="9360"/>
    <xdr:sp macro="" textlink="">
      <xdr:nvSpPr>
        <xdr:cNvPr id="17" name="Line 16">
          <a:extLst>
            <a:ext uri="{FF2B5EF4-FFF2-40B4-BE49-F238E27FC236}">
              <a16:creationId xmlns:a16="http://schemas.microsoft.com/office/drawing/2014/main" id="{00000000-0008-0000-1600-000011000000}"/>
            </a:ext>
          </a:extLst>
        </xdr:cNvPr>
        <xdr:cNvSpPr/>
      </xdr:nvSpPr>
      <xdr:spPr>
        <a:xfrm>
          <a:off x="303120" y="781500"/>
          <a:ext cx="1172160"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285840</xdr:colOff>
      <xdr:row>4</xdr:row>
      <xdr:rowOff>90000</xdr:rowOff>
    </xdr:from>
    <xdr:ext cx="56520" cy="124560"/>
    <xdr:sp macro="" textlink="">
      <xdr:nvSpPr>
        <xdr:cNvPr id="18" name="Rectangle 17">
          <a:extLst>
            <a:ext uri="{FF2B5EF4-FFF2-40B4-BE49-F238E27FC236}">
              <a16:creationId xmlns:a16="http://schemas.microsoft.com/office/drawing/2014/main" id="{00000000-0008-0000-1600-000012000000}"/>
            </a:ext>
          </a:extLst>
        </xdr:cNvPr>
        <xdr:cNvSpPr/>
      </xdr:nvSpPr>
      <xdr:spPr>
        <a:xfrm>
          <a:off x="285840" y="81390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413280</xdr:colOff>
      <xdr:row>4</xdr:row>
      <xdr:rowOff>90000</xdr:rowOff>
    </xdr:from>
    <xdr:ext cx="2357640" cy="113760"/>
    <xdr:sp macro="" textlink="">
      <xdr:nvSpPr>
        <xdr:cNvPr id="19" name="Rectangle 18">
          <a:extLst>
            <a:ext uri="{FF2B5EF4-FFF2-40B4-BE49-F238E27FC236}">
              <a16:creationId xmlns:a16="http://schemas.microsoft.com/office/drawing/2014/main" id="{00000000-0008-0000-1600-000013000000}"/>
            </a:ext>
          </a:extLst>
        </xdr:cNvPr>
        <xdr:cNvSpPr/>
      </xdr:nvSpPr>
      <xdr:spPr>
        <a:xfrm>
          <a:off x="413280" y="813900"/>
          <a:ext cx="23576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Analyze existing data and information received from:</a:t>
          </a:r>
        </a:p>
      </xdr:txBody>
    </xdr:sp>
    <xdr:clientData/>
  </xdr:oneCellAnchor>
  <xdr:oneCellAnchor>
    <xdr:from>
      <xdr:col>0</xdr:col>
      <xdr:colOff>538200</xdr:colOff>
      <xdr:row>5</xdr:row>
      <xdr:rowOff>51840</xdr:rowOff>
    </xdr:from>
    <xdr:ext cx="1810079" cy="113760"/>
    <xdr:sp macro="" textlink="">
      <xdr:nvSpPr>
        <xdr:cNvPr id="20" name="Rectangle 19">
          <a:extLst>
            <a:ext uri="{FF2B5EF4-FFF2-40B4-BE49-F238E27FC236}">
              <a16:creationId xmlns:a16="http://schemas.microsoft.com/office/drawing/2014/main" id="{00000000-0008-0000-1600-000014000000}"/>
            </a:ext>
          </a:extLst>
        </xdr:cNvPr>
        <xdr:cNvSpPr/>
      </xdr:nvSpPr>
      <xdr:spPr>
        <a:xfrm>
          <a:off x="538200" y="956715"/>
          <a:ext cx="181007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Customer, supplier, or other originator</a:t>
          </a:r>
        </a:p>
      </xdr:txBody>
    </xdr:sp>
    <xdr:clientData/>
  </xdr:oneCellAnchor>
  <xdr:oneCellAnchor>
    <xdr:from>
      <xdr:col>0</xdr:col>
      <xdr:colOff>526320</xdr:colOff>
      <xdr:row>6</xdr:row>
      <xdr:rowOff>14040</xdr:rowOff>
    </xdr:from>
    <xdr:ext cx="795600" cy="113760"/>
    <xdr:sp macro="" textlink="">
      <xdr:nvSpPr>
        <xdr:cNvPr id="21" name="Rectangle 20">
          <a:extLst>
            <a:ext uri="{FF2B5EF4-FFF2-40B4-BE49-F238E27FC236}">
              <a16:creationId xmlns:a16="http://schemas.microsoft.com/office/drawing/2014/main" id="{00000000-0008-0000-1600-000015000000}"/>
            </a:ext>
          </a:extLst>
        </xdr:cNvPr>
        <xdr:cNvSpPr/>
      </xdr:nvSpPr>
      <xdr:spPr>
        <a:xfrm>
          <a:off x="526320" y="1099890"/>
          <a:ext cx="795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Parker sources</a:t>
          </a:r>
        </a:p>
      </xdr:txBody>
    </xdr:sp>
    <xdr:clientData/>
  </xdr:oneCellAnchor>
  <xdr:oneCellAnchor>
    <xdr:from>
      <xdr:col>0</xdr:col>
      <xdr:colOff>533880</xdr:colOff>
      <xdr:row>6</xdr:row>
      <xdr:rowOff>141480</xdr:rowOff>
    </xdr:from>
    <xdr:ext cx="2120400" cy="113760"/>
    <xdr:sp macro="" textlink="">
      <xdr:nvSpPr>
        <xdr:cNvPr id="22" name="Rectangle 21">
          <a:extLst>
            <a:ext uri="{FF2B5EF4-FFF2-40B4-BE49-F238E27FC236}">
              <a16:creationId xmlns:a16="http://schemas.microsoft.com/office/drawing/2014/main" id="{00000000-0008-0000-1600-000016000000}"/>
            </a:ext>
          </a:extLst>
        </xdr:cNvPr>
        <xdr:cNvSpPr/>
      </xdr:nvSpPr>
      <xdr:spPr>
        <a:xfrm>
          <a:off x="533880" y="1227330"/>
          <a:ext cx="2120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Historical data (number of prior occurrences)</a:t>
          </a:r>
        </a:p>
      </xdr:txBody>
    </xdr:sp>
    <xdr:clientData/>
  </xdr:oneCellAnchor>
  <xdr:oneCellAnchor>
    <xdr:from>
      <xdr:col>0</xdr:col>
      <xdr:colOff>535680</xdr:colOff>
      <xdr:row>7</xdr:row>
      <xdr:rowOff>103320</xdr:rowOff>
    </xdr:from>
    <xdr:ext cx="2464920" cy="113760"/>
    <xdr:sp macro="" textlink="">
      <xdr:nvSpPr>
        <xdr:cNvPr id="23" name="Rectangle 22">
          <a:extLst>
            <a:ext uri="{FF2B5EF4-FFF2-40B4-BE49-F238E27FC236}">
              <a16:creationId xmlns:a16="http://schemas.microsoft.com/office/drawing/2014/main" id="{00000000-0008-0000-1600-000017000000}"/>
            </a:ext>
          </a:extLst>
        </xdr:cNvPr>
        <xdr:cNvSpPr/>
      </xdr:nvSpPr>
      <xdr:spPr>
        <a:xfrm>
          <a:off x="535680" y="1370145"/>
          <a:ext cx="24649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Relevant documents, specifications, drawings, work</a:t>
          </a:r>
        </a:p>
      </xdr:txBody>
    </xdr:sp>
    <xdr:clientData/>
  </xdr:oneCellAnchor>
  <xdr:oneCellAnchor>
    <xdr:from>
      <xdr:col>1</xdr:col>
      <xdr:colOff>29160</xdr:colOff>
      <xdr:row>8</xdr:row>
      <xdr:rowOff>67320</xdr:rowOff>
    </xdr:from>
    <xdr:ext cx="514080" cy="113760"/>
    <xdr:sp macro="" textlink="">
      <xdr:nvSpPr>
        <xdr:cNvPr id="24" name="Rectangle 23">
          <a:extLst>
            <a:ext uri="{FF2B5EF4-FFF2-40B4-BE49-F238E27FC236}">
              <a16:creationId xmlns:a16="http://schemas.microsoft.com/office/drawing/2014/main" id="{00000000-0008-0000-1600-000018000000}"/>
            </a:ext>
          </a:extLst>
        </xdr:cNvPr>
        <xdr:cNvSpPr/>
      </xdr:nvSpPr>
      <xdr:spPr>
        <a:xfrm>
          <a:off x="638760" y="1515120"/>
          <a:ext cx="5140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instructions</a:t>
          </a:r>
        </a:p>
      </xdr:txBody>
    </xdr:sp>
    <xdr:clientData/>
  </xdr:oneCellAnchor>
  <xdr:oneCellAnchor>
    <xdr:from>
      <xdr:col>0</xdr:col>
      <xdr:colOff>285840</xdr:colOff>
      <xdr:row>9</xdr:row>
      <xdr:rowOff>21600</xdr:rowOff>
    </xdr:from>
    <xdr:ext cx="56520" cy="124560"/>
    <xdr:sp macro="" textlink="">
      <xdr:nvSpPr>
        <xdr:cNvPr id="25" name="Rectangle 24">
          <a:extLst>
            <a:ext uri="{FF2B5EF4-FFF2-40B4-BE49-F238E27FC236}">
              <a16:creationId xmlns:a16="http://schemas.microsoft.com/office/drawing/2014/main" id="{00000000-0008-0000-1600-000019000000}"/>
            </a:ext>
          </a:extLst>
        </xdr:cNvPr>
        <xdr:cNvSpPr/>
      </xdr:nvSpPr>
      <xdr:spPr>
        <a:xfrm>
          <a:off x="285840" y="165037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412560</xdr:colOff>
      <xdr:row>9</xdr:row>
      <xdr:rowOff>21600</xdr:rowOff>
    </xdr:from>
    <xdr:ext cx="2199600" cy="113760"/>
    <xdr:sp macro="" textlink="">
      <xdr:nvSpPr>
        <xdr:cNvPr id="26" name="Rectangle 25">
          <a:extLst>
            <a:ext uri="{FF2B5EF4-FFF2-40B4-BE49-F238E27FC236}">
              <a16:creationId xmlns:a16="http://schemas.microsoft.com/office/drawing/2014/main" id="{00000000-0008-0000-1600-00001A000000}"/>
            </a:ext>
          </a:extLst>
        </xdr:cNvPr>
        <xdr:cNvSpPr/>
      </xdr:nvSpPr>
      <xdr:spPr>
        <a:xfrm>
          <a:off x="412560" y="1650375"/>
          <a:ext cx="2199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Identify &amp; state the problem in quantifiable terms:</a:t>
          </a:r>
        </a:p>
      </xdr:txBody>
    </xdr:sp>
    <xdr:clientData/>
  </xdr:oneCellAnchor>
  <xdr:oneCellAnchor>
    <xdr:from>
      <xdr:col>0</xdr:col>
      <xdr:colOff>536040</xdr:colOff>
      <xdr:row>9</xdr:row>
      <xdr:rowOff>141480</xdr:rowOff>
    </xdr:from>
    <xdr:ext cx="2424960" cy="113760"/>
    <xdr:sp macro="" textlink="">
      <xdr:nvSpPr>
        <xdr:cNvPr id="27" name="Rectangle 26">
          <a:extLst>
            <a:ext uri="{FF2B5EF4-FFF2-40B4-BE49-F238E27FC236}">
              <a16:creationId xmlns:a16="http://schemas.microsoft.com/office/drawing/2014/main" id="{00000000-0008-0000-1600-00001B000000}"/>
            </a:ext>
          </a:extLst>
        </xdr:cNvPr>
        <xdr:cNvSpPr/>
      </xdr:nvSpPr>
      <xdr:spPr>
        <a:xfrm>
          <a:off x="536040" y="1770255"/>
          <a:ext cx="24249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End item part numbers, sub assemblies, detail part</a:t>
          </a:r>
        </a:p>
      </xdr:txBody>
    </xdr:sp>
    <xdr:clientData/>
  </xdr:oneCellAnchor>
  <xdr:oneCellAnchor>
    <xdr:from>
      <xdr:col>1</xdr:col>
      <xdr:colOff>32040</xdr:colOff>
      <xdr:row>10</xdr:row>
      <xdr:rowOff>103320</xdr:rowOff>
    </xdr:from>
    <xdr:ext cx="782640" cy="113760"/>
    <xdr:sp macro="" textlink="">
      <xdr:nvSpPr>
        <xdr:cNvPr id="28" name="Rectangle 27">
          <a:extLst>
            <a:ext uri="{FF2B5EF4-FFF2-40B4-BE49-F238E27FC236}">
              <a16:creationId xmlns:a16="http://schemas.microsoft.com/office/drawing/2014/main" id="{00000000-0008-0000-1600-00001C000000}"/>
            </a:ext>
          </a:extLst>
        </xdr:cNvPr>
        <xdr:cNvSpPr/>
      </xdr:nvSpPr>
      <xdr:spPr>
        <a:xfrm>
          <a:off x="641640" y="1913070"/>
          <a:ext cx="7826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numbers affected</a:t>
          </a:r>
        </a:p>
      </xdr:txBody>
    </xdr:sp>
    <xdr:clientData/>
  </xdr:oneCellAnchor>
  <xdr:oneCellAnchor>
    <xdr:from>
      <xdr:col>0</xdr:col>
      <xdr:colOff>528120</xdr:colOff>
      <xdr:row>11</xdr:row>
      <xdr:rowOff>73080</xdr:rowOff>
    </xdr:from>
    <xdr:ext cx="1231560" cy="113760"/>
    <xdr:sp macro="" textlink="">
      <xdr:nvSpPr>
        <xdr:cNvPr id="29" name="Rectangle 28">
          <a:extLst>
            <a:ext uri="{FF2B5EF4-FFF2-40B4-BE49-F238E27FC236}">
              <a16:creationId xmlns:a16="http://schemas.microsoft.com/office/drawing/2014/main" id="{00000000-0008-0000-1600-00001D000000}"/>
            </a:ext>
          </a:extLst>
        </xdr:cNvPr>
        <xdr:cNvSpPr/>
      </xdr:nvSpPr>
      <xdr:spPr>
        <a:xfrm>
          <a:off x="528120" y="2063805"/>
          <a:ext cx="1231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Customer’s part number</a:t>
          </a:r>
        </a:p>
      </xdr:txBody>
    </xdr:sp>
    <xdr:clientData/>
  </xdr:oneCellAnchor>
  <xdr:oneCellAnchor>
    <xdr:from>
      <xdr:col>0</xdr:col>
      <xdr:colOff>537120</xdr:colOff>
      <xdr:row>12</xdr:row>
      <xdr:rowOff>36720</xdr:rowOff>
    </xdr:from>
    <xdr:ext cx="2496600" cy="113760"/>
    <xdr:sp macro="" textlink="">
      <xdr:nvSpPr>
        <xdr:cNvPr id="30" name="Rectangle 29">
          <a:extLst>
            <a:ext uri="{FF2B5EF4-FFF2-40B4-BE49-F238E27FC236}">
              <a16:creationId xmlns:a16="http://schemas.microsoft.com/office/drawing/2014/main" id="{00000000-0008-0000-1600-00001E000000}"/>
            </a:ext>
          </a:extLst>
        </xdr:cNvPr>
        <xdr:cNvSpPr/>
      </xdr:nvSpPr>
      <xdr:spPr>
        <a:xfrm>
          <a:off x="537120" y="2208420"/>
          <a:ext cx="2496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Serial numbers, batch numbers, lot numbers affected</a:t>
          </a:r>
        </a:p>
      </xdr:txBody>
    </xdr:sp>
    <xdr:clientData/>
  </xdr:oneCellAnchor>
  <xdr:oneCellAnchor>
    <xdr:from>
      <xdr:col>0</xdr:col>
      <xdr:colOff>538560</xdr:colOff>
      <xdr:row>12</xdr:row>
      <xdr:rowOff>161280</xdr:rowOff>
    </xdr:from>
    <xdr:ext cx="2436480" cy="113760"/>
    <xdr:sp macro="" textlink="">
      <xdr:nvSpPr>
        <xdr:cNvPr id="31" name="Rectangle 30">
          <a:extLst>
            <a:ext uri="{FF2B5EF4-FFF2-40B4-BE49-F238E27FC236}">
              <a16:creationId xmlns:a16="http://schemas.microsoft.com/office/drawing/2014/main" id="{00000000-0008-0000-1600-00001F000000}"/>
            </a:ext>
          </a:extLst>
        </xdr:cNvPr>
        <xdr:cNvSpPr/>
      </xdr:nvSpPr>
      <xdr:spPr>
        <a:xfrm>
          <a:off x="538560" y="2332980"/>
          <a:ext cx="2436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Application where product was being (or was to be)</a:t>
          </a:r>
        </a:p>
      </xdr:txBody>
    </xdr:sp>
    <xdr:clientData/>
  </xdr:oneCellAnchor>
  <xdr:oneCellAnchor>
    <xdr:from>
      <xdr:col>1</xdr:col>
      <xdr:colOff>27720</xdr:colOff>
      <xdr:row>13</xdr:row>
      <xdr:rowOff>110880</xdr:rowOff>
    </xdr:from>
    <xdr:ext cx="220680" cy="113760"/>
    <xdr:sp macro="" textlink="">
      <xdr:nvSpPr>
        <xdr:cNvPr id="32" name="Rectangle 31">
          <a:extLst>
            <a:ext uri="{FF2B5EF4-FFF2-40B4-BE49-F238E27FC236}">
              <a16:creationId xmlns:a16="http://schemas.microsoft.com/office/drawing/2014/main" id="{00000000-0008-0000-1600-000020000000}"/>
            </a:ext>
          </a:extLst>
        </xdr:cNvPr>
        <xdr:cNvSpPr/>
      </xdr:nvSpPr>
      <xdr:spPr>
        <a:xfrm>
          <a:off x="637320" y="2463555"/>
          <a:ext cx="2206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used</a:t>
          </a:r>
        </a:p>
      </xdr:txBody>
    </xdr:sp>
    <xdr:clientData/>
  </xdr:oneCellAnchor>
  <xdr:oneCellAnchor>
    <xdr:from>
      <xdr:col>0</xdr:col>
      <xdr:colOff>536040</xdr:colOff>
      <xdr:row>14</xdr:row>
      <xdr:rowOff>73080</xdr:rowOff>
    </xdr:from>
    <xdr:ext cx="2538360" cy="113760"/>
    <xdr:sp macro="" textlink="">
      <xdr:nvSpPr>
        <xdr:cNvPr id="33" name="Rectangle 32">
          <a:extLst>
            <a:ext uri="{FF2B5EF4-FFF2-40B4-BE49-F238E27FC236}">
              <a16:creationId xmlns:a16="http://schemas.microsoft.com/office/drawing/2014/main" id="{00000000-0008-0000-1600-000021000000}"/>
            </a:ext>
          </a:extLst>
        </xdr:cNvPr>
        <xdr:cNvSpPr/>
      </xdr:nvSpPr>
      <xdr:spPr>
        <a:xfrm>
          <a:off x="536040" y="2606730"/>
          <a:ext cx="25383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Where discovered, who discovered, when discovered</a:t>
          </a:r>
        </a:p>
      </xdr:txBody>
    </xdr:sp>
    <xdr:clientData/>
  </xdr:oneCellAnchor>
  <xdr:oneCellAnchor>
    <xdr:from>
      <xdr:col>1</xdr:col>
      <xdr:colOff>31680</xdr:colOff>
      <xdr:row>15</xdr:row>
      <xdr:rowOff>36720</xdr:rowOff>
    </xdr:from>
    <xdr:ext cx="947880" cy="113760"/>
    <xdr:sp macro="" textlink="">
      <xdr:nvSpPr>
        <xdr:cNvPr id="34" name="Rectangle 33">
          <a:extLst>
            <a:ext uri="{FF2B5EF4-FFF2-40B4-BE49-F238E27FC236}">
              <a16:creationId xmlns:a16="http://schemas.microsoft.com/office/drawing/2014/main" id="{00000000-0008-0000-1600-000022000000}"/>
            </a:ext>
          </a:extLst>
        </xdr:cNvPr>
        <xdr:cNvSpPr/>
      </xdr:nvSpPr>
      <xdr:spPr>
        <a:xfrm>
          <a:off x="641280" y="2751345"/>
          <a:ext cx="9478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(work shifts involved)</a:t>
          </a:r>
        </a:p>
      </xdr:txBody>
    </xdr:sp>
    <xdr:clientData/>
  </xdr:oneCellAnchor>
  <xdr:oneCellAnchor>
    <xdr:from>
      <xdr:col>0</xdr:col>
      <xdr:colOff>532080</xdr:colOff>
      <xdr:row>16</xdr:row>
      <xdr:rowOff>14040</xdr:rowOff>
    </xdr:from>
    <xdr:ext cx="1611360" cy="113760"/>
    <xdr:sp macro="" textlink="">
      <xdr:nvSpPr>
        <xdr:cNvPr id="35" name="Rectangle 34">
          <a:extLst>
            <a:ext uri="{FF2B5EF4-FFF2-40B4-BE49-F238E27FC236}">
              <a16:creationId xmlns:a16="http://schemas.microsoft.com/office/drawing/2014/main" id="{00000000-0008-0000-1600-000023000000}"/>
            </a:ext>
          </a:extLst>
        </xdr:cNvPr>
        <xdr:cNvSpPr/>
      </xdr:nvSpPr>
      <xdr:spPr>
        <a:xfrm>
          <a:off x="532080" y="2909640"/>
          <a:ext cx="16113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The process parameters required</a:t>
          </a:r>
        </a:p>
      </xdr:txBody>
    </xdr:sp>
    <xdr:clientData/>
  </xdr:oneCellAnchor>
  <xdr:oneCellAnchor>
    <xdr:from>
      <xdr:col>0</xdr:col>
      <xdr:colOff>529920</xdr:colOff>
      <xdr:row>16</xdr:row>
      <xdr:rowOff>135720</xdr:rowOff>
    </xdr:from>
    <xdr:ext cx="1296000" cy="113760"/>
    <xdr:sp macro="" textlink="">
      <xdr:nvSpPr>
        <xdr:cNvPr id="36" name="Rectangle 35">
          <a:extLst>
            <a:ext uri="{FF2B5EF4-FFF2-40B4-BE49-F238E27FC236}">
              <a16:creationId xmlns:a16="http://schemas.microsoft.com/office/drawing/2014/main" id="{00000000-0008-0000-1600-000024000000}"/>
            </a:ext>
          </a:extLst>
        </xdr:cNvPr>
        <xdr:cNvSpPr/>
      </xdr:nvSpPr>
      <xdr:spPr>
        <a:xfrm>
          <a:off x="529920" y="3031320"/>
          <a:ext cx="1296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The process settings used</a:t>
          </a:r>
        </a:p>
      </xdr:txBody>
    </xdr:sp>
    <xdr:clientData/>
  </xdr:oneCellAnchor>
  <xdr:oneCellAnchor>
    <xdr:from>
      <xdr:col>0</xdr:col>
      <xdr:colOff>536400</xdr:colOff>
      <xdr:row>17</xdr:row>
      <xdr:rowOff>97560</xdr:rowOff>
    </xdr:from>
    <xdr:ext cx="2566079" cy="113760"/>
    <xdr:sp macro="" textlink="">
      <xdr:nvSpPr>
        <xdr:cNvPr id="37" name="Rectangle 36">
          <a:extLst>
            <a:ext uri="{FF2B5EF4-FFF2-40B4-BE49-F238E27FC236}">
              <a16:creationId xmlns:a16="http://schemas.microsoft.com/office/drawing/2014/main" id="{00000000-0008-0000-1600-000025000000}"/>
            </a:ext>
          </a:extLst>
        </xdr:cNvPr>
        <xdr:cNvSpPr/>
      </xdr:nvSpPr>
      <xdr:spPr>
        <a:xfrm>
          <a:off x="536400" y="3174135"/>
          <a:ext cx="256607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Clarify the issue with a sketch, flowchart &amp; data charts</a:t>
          </a:r>
        </a:p>
      </xdr:txBody>
    </xdr:sp>
    <xdr:clientData/>
  </xdr:oneCellAnchor>
  <xdr:oneCellAnchor>
    <xdr:from>
      <xdr:col>1</xdr:col>
      <xdr:colOff>40680</xdr:colOff>
      <xdr:row>18</xdr:row>
      <xdr:rowOff>51840</xdr:rowOff>
    </xdr:from>
    <xdr:ext cx="2424600" cy="113760"/>
    <xdr:sp macro="" textlink="">
      <xdr:nvSpPr>
        <xdr:cNvPr id="38" name="Rectangle 37">
          <a:extLst>
            <a:ext uri="{FF2B5EF4-FFF2-40B4-BE49-F238E27FC236}">
              <a16:creationId xmlns:a16="http://schemas.microsoft.com/office/drawing/2014/main" id="{00000000-0008-0000-1600-000026000000}"/>
            </a:ext>
          </a:extLst>
        </xdr:cNvPr>
        <xdr:cNvSpPr/>
      </xdr:nvSpPr>
      <xdr:spPr>
        <a:xfrm>
          <a:off x="650280" y="3309390"/>
          <a:ext cx="2424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(i.e., Pareto charts, scatter diagrams, run charts, etc.)</a:t>
          </a:r>
        </a:p>
      </xdr:txBody>
    </xdr:sp>
    <xdr:clientData/>
  </xdr:oneCellAnchor>
  <xdr:oneCellAnchor>
    <xdr:from>
      <xdr:col>6</xdr:col>
      <xdr:colOff>227160</xdr:colOff>
      <xdr:row>4</xdr:row>
      <xdr:rowOff>105480</xdr:rowOff>
    </xdr:from>
    <xdr:ext cx="2934720" cy="975240"/>
    <xdr:sp macro="" textlink="">
      <xdr:nvSpPr>
        <xdr:cNvPr id="39" name="Freeform 38">
          <a:extLst>
            <a:ext uri="{FF2B5EF4-FFF2-40B4-BE49-F238E27FC236}">
              <a16:creationId xmlns:a16="http://schemas.microsoft.com/office/drawing/2014/main" id="{00000000-0008-0000-1600-000027000000}"/>
            </a:ext>
          </a:extLst>
        </xdr:cNvPr>
        <xdr:cNvSpPr/>
      </xdr:nvSpPr>
      <xdr:spPr>
        <a:xfrm>
          <a:off x="3884760" y="829380"/>
          <a:ext cx="2934720" cy="975240"/>
        </a:xfrm>
        <a:custGeom>
          <a:avLst/>
          <a:gdLst>
            <a:gd name="f0" fmla="val 0"/>
            <a:gd name="f1" fmla="val 308"/>
            <a:gd name="f2" fmla="val 102"/>
            <a:gd name="f3" fmla="val 154"/>
            <a:gd name="f4" fmla="val 51"/>
          </a:gdLst>
          <a:ahLst/>
          <a:cxnLst>
            <a:cxn ang="3cd4">
              <a:pos x="hc" y="t"/>
            </a:cxn>
            <a:cxn ang="0">
              <a:pos x="r" y="vc"/>
            </a:cxn>
            <a:cxn ang="cd4">
              <a:pos x="hc" y="b"/>
            </a:cxn>
            <a:cxn ang="cd2">
              <a:pos x="l" y="vc"/>
            </a:cxn>
          </a:cxnLst>
          <a:rect l="l" t="t" r="r" b="b"/>
          <a:pathLst>
            <a:path w="308" h="102">
              <a:moveTo>
                <a:pt x="f3" y="f0"/>
              </a:moveTo>
              <a:lnTo>
                <a:pt x="f0" y="f4"/>
              </a:lnTo>
              <a:lnTo>
                <a:pt x="f3" y="f2"/>
              </a:lnTo>
              <a:lnTo>
                <a:pt x="f1" y="f4"/>
              </a:lnTo>
              <a:lnTo>
                <a:pt x="f3" y="f0"/>
              </a:lnTo>
              <a:close/>
            </a:path>
          </a:pathLst>
        </a:custGeom>
        <a:noFill/>
        <a:ln w="9360">
          <a:solidFill>
            <a:srgbClr val="000000"/>
          </a:solidFill>
          <a:prstDash val="solid"/>
          <a:roun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7</xdr:col>
      <xdr:colOff>41040</xdr:colOff>
      <xdr:row>7</xdr:row>
      <xdr:rowOff>36720</xdr:rowOff>
    </xdr:from>
    <xdr:ext cx="1885680" cy="128160"/>
    <xdr:sp macro="" textlink="">
      <xdr:nvSpPr>
        <xdr:cNvPr id="40" name="Rectangle 39">
          <a:extLst>
            <a:ext uri="{FF2B5EF4-FFF2-40B4-BE49-F238E27FC236}">
              <a16:creationId xmlns:a16="http://schemas.microsoft.com/office/drawing/2014/main" id="{00000000-0008-0000-1600-000028000000}"/>
            </a:ext>
          </a:extLst>
        </xdr:cNvPr>
        <xdr:cNvSpPr/>
      </xdr:nvSpPr>
      <xdr:spPr>
        <a:xfrm>
          <a:off x="4308240" y="1303545"/>
          <a:ext cx="188568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Is the potential cause a “root” cause?</a:t>
          </a:r>
        </a:p>
      </xdr:txBody>
    </xdr:sp>
    <xdr:clientData/>
  </xdr:oneCellAnchor>
  <xdr:oneCellAnchor>
    <xdr:from>
      <xdr:col>0</xdr:col>
      <xdr:colOff>103320</xdr:colOff>
      <xdr:row>28</xdr:row>
      <xdr:rowOff>86400</xdr:rowOff>
    </xdr:from>
    <xdr:ext cx="3087000" cy="1396439"/>
    <xdr:sp macro="" textlink="">
      <xdr:nvSpPr>
        <xdr:cNvPr id="41" name="Rectangle 40">
          <a:extLst>
            <a:ext uri="{FF2B5EF4-FFF2-40B4-BE49-F238E27FC236}">
              <a16:creationId xmlns:a16="http://schemas.microsoft.com/office/drawing/2014/main" id="{00000000-0008-0000-1600-000029000000}"/>
            </a:ext>
          </a:extLst>
        </xdr:cNvPr>
        <xdr:cNvSpPr/>
      </xdr:nvSpPr>
      <xdr:spPr>
        <a:xfrm>
          <a:off x="103320" y="5153700"/>
          <a:ext cx="3087000" cy="1396439"/>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171720</xdr:colOff>
      <xdr:row>28</xdr:row>
      <xdr:rowOff>135720</xdr:rowOff>
    </xdr:from>
    <xdr:ext cx="128160" cy="128160"/>
    <xdr:sp macro="" textlink="">
      <xdr:nvSpPr>
        <xdr:cNvPr id="42" name="Rectangle 41">
          <a:extLst>
            <a:ext uri="{FF2B5EF4-FFF2-40B4-BE49-F238E27FC236}">
              <a16:creationId xmlns:a16="http://schemas.microsoft.com/office/drawing/2014/main" id="{00000000-0008-0000-1600-00002A000000}"/>
            </a:ext>
          </a:extLst>
        </xdr:cNvPr>
        <xdr:cNvSpPr/>
      </xdr:nvSpPr>
      <xdr:spPr>
        <a:xfrm>
          <a:off x="171720" y="5203020"/>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3.</a:t>
          </a:r>
        </a:p>
      </xdr:txBody>
    </xdr:sp>
    <xdr:clientData/>
  </xdr:oneCellAnchor>
  <xdr:oneCellAnchor>
    <xdr:from>
      <xdr:col>0</xdr:col>
      <xdr:colOff>307800</xdr:colOff>
      <xdr:row>28</xdr:row>
      <xdr:rowOff>135720</xdr:rowOff>
    </xdr:from>
    <xdr:ext cx="2158920" cy="128160"/>
    <xdr:sp macro="" textlink="">
      <xdr:nvSpPr>
        <xdr:cNvPr id="43" name="Rectangle 42">
          <a:extLst>
            <a:ext uri="{FF2B5EF4-FFF2-40B4-BE49-F238E27FC236}">
              <a16:creationId xmlns:a16="http://schemas.microsoft.com/office/drawing/2014/main" id="{00000000-0008-0000-1600-00002B000000}"/>
            </a:ext>
          </a:extLst>
        </xdr:cNvPr>
        <xdr:cNvSpPr/>
      </xdr:nvSpPr>
      <xdr:spPr>
        <a:xfrm>
          <a:off x="307800" y="5203020"/>
          <a:ext cx="215892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Implement and Verify Containment Actions</a:t>
          </a:r>
        </a:p>
      </xdr:txBody>
    </xdr:sp>
    <xdr:clientData/>
  </xdr:oneCellAnchor>
  <xdr:oneCellAnchor>
    <xdr:from>
      <xdr:col>0</xdr:col>
      <xdr:colOff>303120</xdr:colOff>
      <xdr:row>29</xdr:row>
      <xdr:rowOff>95760</xdr:rowOff>
    </xdr:from>
    <xdr:ext cx="2343960" cy="9360"/>
    <xdr:sp macro="" textlink="">
      <xdr:nvSpPr>
        <xdr:cNvPr id="44" name="Line 43">
          <a:extLst>
            <a:ext uri="{FF2B5EF4-FFF2-40B4-BE49-F238E27FC236}">
              <a16:creationId xmlns:a16="http://schemas.microsoft.com/office/drawing/2014/main" id="{00000000-0008-0000-1600-00002C000000}"/>
            </a:ext>
          </a:extLst>
        </xdr:cNvPr>
        <xdr:cNvSpPr/>
      </xdr:nvSpPr>
      <xdr:spPr>
        <a:xfrm>
          <a:off x="303120" y="5344035"/>
          <a:ext cx="2343960"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285840</xdr:colOff>
      <xdr:row>29</xdr:row>
      <xdr:rowOff>135720</xdr:rowOff>
    </xdr:from>
    <xdr:ext cx="56520" cy="124560"/>
    <xdr:sp macro="" textlink="">
      <xdr:nvSpPr>
        <xdr:cNvPr id="45" name="Rectangle 44">
          <a:extLst>
            <a:ext uri="{FF2B5EF4-FFF2-40B4-BE49-F238E27FC236}">
              <a16:creationId xmlns:a16="http://schemas.microsoft.com/office/drawing/2014/main" id="{00000000-0008-0000-1600-00002D000000}"/>
            </a:ext>
          </a:extLst>
        </xdr:cNvPr>
        <xdr:cNvSpPr/>
      </xdr:nvSpPr>
      <xdr:spPr>
        <a:xfrm>
          <a:off x="285840" y="538399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419400</xdr:colOff>
      <xdr:row>29</xdr:row>
      <xdr:rowOff>135720</xdr:rowOff>
    </xdr:from>
    <xdr:ext cx="2413800" cy="113760"/>
    <xdr:sp macro="" textlink="">
      <xdr:nvSpPr>
        <xdr:cNvPr id="46" name="Rectangle 45">
          <a:extLst>
            <a:ext uri="{FF2B5EF4-FFF2-40B4-BE49-F238E27FC236}">
              <a16:creationId xmlns:a16="http://schemas.microsoft.com/office/drawing/2014/main" id="{00000000-0008-0000-1600-00002E000000}"/>
            </a:ext>
          </a:extLst>
        </xdr:cNvPr>
        <xdr:cNvSpPr/>
      </xdr:nvSpPr>
      <xdr:spPr>
        <a:xfrm>
          <a:off x="419400" y="5383995"/>
          <a:ext cx="2413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Take immediate interim action to prevent the problem</a:t>
          </a:r>
        </a:p>
      </xdr:txBody>
    </xdr:sp>
    <xdr:clientData/>
  </xdr:oneCellAnchor>
  <xdr:oneCellAnchor>
    <xdr:from>
      <xdr:col>0</xdr:col>
      <xdr:colOff>403560</xdr:colOff>
      <xdr:row>30</xdr:row>
      <xdr:rowOff>97560</xdr:rowOff>
    </xdr:from>
    <xdr:ext cx="705600" cy="113760"/>
    <xdr:sp macro="" textlink="">
      <xdr:nvSpPr>
        <xdr:cNvPr id="47" name="Rectangle 46">
          <a:extLst>
            <a:ext uri="{FF2B5EF4-FFF2-40B4-BE49-F238E27FC236}">
              <a16:creationId xmlns:a16="http://schemas.microsoft.com/office/drawing/2014/main" id="{00000000-0008-0000-1600-00002F000000}"/>
            </a:ext>
          </a:extLst>
        </xdr:cNvPr>
        <xdr:cNvSpPr/>
      </xdr:nvSpPr>
      <xdr:spPr>
        <a:xfrm>
          <a:off x="403560" y="5526810"/>
          <a:ext cx="705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from spreading:</a:t>
          </a:r>
        </a:p>
      </xdr:txBody>
    </xdr:sp>
    <xdr:clientData/>
  </xdr:oneCellAnchor>
  <xdr:oneCellAnchor>
    <xdr:from>
      <xdr:col>0</xdr:col>
      <xdr:colOff>527760</xdr:colOff>
      <xdr:row>31</xdr:row>
      <xdr:rowOff>59760</xdr:rowOff>
    </xdr:from>
    <xdr:ext cx="1089000" cy="113760"/>
    <xdr:sp macro="" textlink="">
      <xdr:nvSpPr>
        <xdr:cNvPr id="48" name="Rectangle 47">
          <a:extLst>
            <a:ext uri="{FF2B5EF4-FFF2-40B4-BE49-F238E27FC236}">
              <a16:creationId xmlns:a16="http://schemas.microsoft.com/office/drawing/2014/main" id="{00000000-0008-0000-1600-000030000000}"/>
            </a:ext>
          </a:extLst>
        </xdr:cNvPr>
        <xdr:cNvSpPr/>
      </xdr:nvSpPr>
      <xdr:spPr>
        <a:xfrm>
          <a:off x="527760" y="5669985"/>
          <a:ext cx="1089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Check related work in</a:t>
          </a:r>
        </a:p>
      </xdr:txBody>
    </xdr:sp>
    <xdr:clientData/>
  </xdr:oneCellAnchor>
  <xdr:oneCellAnchor>
    <xdr:from>
      <xdr:col>2</xdr:col>
      <xdr:colOff>407520</xdr:colOff>
      <xdr:row>31</xdr:row>
      <xdr:rowOff>59760</xdr:rowOff>
    </xdr:from>
    <xdr:ext cx="34560" cy="113760"/>
    <xdr:sp macro="" textlink="">
      <xdr:nvSpPr>
        <xdr:cNvPr id="49" name="Rectangle 48">
          <a:extLst>
            <a:ext uri="{FF2B5EF4-FFF2-40B4-BE49-F238E27FC236}">
              <a16:creationId xmlns:a16="http://schemas.microsoft.com/office/drawing/2014/main" id="{00000000-0008-0000-1600-000031000000}"/>
            </a:ext>
          </a:extLst>
        </xdr:cNvPr>
        <xdr:cNvSpPr/>
      </xdr:nvSpPr>
      <xdr:spPr>
        <a:xfrm>
          <a:off x="1626720" y="566998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2</xdr:col>
      <xdr:colOff>453239</xdr:colOff>
      <xdr:row>31</xdr:row>
      <xdr:rowOff>59760</xdr:rowOff>
    </xdr:from>
    <xdr:ext cx="1382400" cy="113760"/>
    <xdr:sp macro="" textlink="">
      <xdr:nvSpPr>
        <xdr:cNvPr id="50" name="Rectangle 49">
          <a:extLst>
            <a:ext uri="{FF2B5EF4-FFF2-40B4-BE49-F238E27FC236}">
              <a16:creationId xmlns:a16="http://schemas.microsoft.com/office/drawing/2014/main" id="{00000000-0008-0000-1600-000032000000}"/>
            </a:ext>
          </a:extLst>
        </xdr:cNvPr>
        <xdr:cNvSpPr/>
      </xdr:nvSpPr>
      <xdr:spPr>
        <a:xfrm>
          <a:off x="1672439" y="5669985"/>
          <a:ext cx="1382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process for the same condition</a:t>
          </a:r>
        </a:p>
      </xdr:txBody>
    </xdr:sp>
    <xdr:clientData/>
  </xdr:oneCellAnchor>
  <xdr:oneCellAnchor>
    <xdr:from>
      <xdr:col>0</xdr:col>
      <xdr:colOff>529560</xdr:colOff>
      <xdr:row>32</xdr:row>
      <xdr:rowOff>21600</xdr:rowOff>
    </xdr:from>
    <xdr:ext cx="1337040" cy="113760"/>
    <xdr:sp macro="" textlink="">
      <xdr:nvSpPr>
        <xdr:cNvPr id="51" name="Rectangle 50">
          <a:extLst>
            <a:ext uri="{FF2B5EF4-FFF2-40B4-BE49-F238E27FC236}">
              <a16:creationId xmlns:a16="http://schemas.microsoft.com/office/drawing/2014/main" id="{00000000-0008-0000-1600-000033000000}"/>
            </a:ext>
          </a:extLst>
        </xdr:cNvPr>
        <xdr:cNvSpPr/>
      </xdr:nvSpPr>
      <xdr:spPr>
        <a:xfrm>
          <a:off x="529560" y="5812800"/>
          <a:ext cx="13370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Check finished goods at on</a:t>
          </a:r>
        </a:p>
      </xdr:txBody>
    </xdr:sp>
    <xdr:clientData/>
  </xdr:oneCellAnchor>
  <xdr:oneCellAnchor>
    <xdr:from>
      <xdr:col>3</xdr:col>
      <xdr:colOff>57240</xdr:colOff>
      <xdr:row>32</xdr:row>
      <xdr:rowOff>21600</xdr:rowOff>
    </xdr:from>
    <xdr:ext cx="34560" cy="113760"/>
    <xdr:sp macro="" textlink="">
      <xdr:nvSpPr>
        <xdr:cNvPr id="52" name="Rectangle 51">
          <a:extLst>
            <a:ext uri="{FF2B5EF4-FFF2-40B4-BE49-F238E27FC236}">
              <a16:creationId xmlns:a16="http://schemas.microsoft.com/office/drawing/2014/main" id="{00000000-0008-0000-1600-000034000000}"/>
            </a:ext>
          </a:extLst>
        </xdr:cNvPr>
        <xdr:cNvSpPr/>
      </xdr:nvSpPr>
      <xdr:spPr>
        <a:xfrm>
          <a:off x="1886040" y="5812800"/>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3</xdr:col>
      <xdr:colOff>91080</xdr:colOff>
      <xdr:row>32</xdr:row>
      <xdr:rowOff>21600</xdr:rowOff>
    </xdr:from>
    <xdr:ext cx="495000" cy="113760"/>
    <xdr:sp macro="" textlink="">
      <xdr:nvSpPr>
        <xdr:cNvPr id="53" name="Rectangle 52">
          <a:extLst>
            <a:ext uri="{FF2B5EF4-FFF2-40B4-BE49-F238E27FC236}">
              <a16:creationId xmlns:a16="http://schemas.microsoft.com/office/drawing/2014/main" id="{00000000-0008-0000-1600-000035000000}"/>
            </a:ext>
          </a:extLst>
        </xdr:cNvPr>
        <xdr:cNvSpPr/>
      </xdr:nvSpPr>
      <xdr:spPr>
        <a:xfrm>
          <a:off x="1919880" y="5812800"/>
          <a:ext cx="495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site and off</a:t>
          </a:r>
        </a:p>
      </xdr:txBody>
    </xdr:sp>
    <xdr:clientData/>
  </xdr:oneCellAnchor>
  <xdr:oneCellAnchor>
    <xdr:from>
      <xdr:col>3</xdr:col>
      <xdr:colOff>598320</xdr:colOff>
      <xdr:row>32</xdr:row>
      <xdr:rowOff>21600</xdr:rowOff>
    </xdr:from>
    <xdr:ext cx="34560" cy="113760"/>
    <xdr:sp macro="" textlink="">
      <xdr:nvSpPr>
        <xdr:cNvPr id="54" name="Rectangle 53">
          <a:extLst>
            <a:ext uri="{FF2B5EF4-FFF2-40B4-BE49-F238E27FC236}">
              <a16:creationId xmlns:a16="http://schemas.microsoft.com/office/drawing/2014/main" id="{00000000-0008-0000-1600-000036000000}"/>
            </a:ext>
          </a:extLst>
        </xdr:cNvPr>
        <xdr:cNvSpPr/>
      </xdr:nvSpPr>
      <xdr:spPr>
        <a:xfrm>
          <a:off x="2427120" y="5812800"/>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4</xdr:col>
      <xdr:colOff>29520</xdr:colOff>
      <xdr:row>32</xdr:row>
      <xdr:rowOff>21600</xdr:rowOff>
    </xdr:from>
    <xdr:ext cx="525240" cy="113760"/>
    <xdr:sp macro="" textlink="">
      <xdr:nvSpPr>
        <xdr:cNvPr id="55" name="Rectangle 54">
          <a:extLst>
            <a:ext uri="{FF2B5EF4-FFF2-40B4-BE49-F238E27FC236}">
              <a16:creationId xmlns:a16="http://schemas.microsoft.com/office/drawing/2014/main" id="{00000000-0008-0000-1600-000037000000}"/>
            </a:ext>
          </a:extLst>
        </xdr:cNvPr>
        <xdr:cNvSpPr/>
      </xdr:nvSpPr>
      <xdr:spPr>
        <a:xfrm>
          <a:off x="2467920" y="5812800"/>
          <a:ext cx="5252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site storage</a:t>
          </a:r>
        </a:p>
      </xdr:txBody>
    </xdr:sp>
    <xdr:clientData/>
  </xdr:oneCellAnchor>
  <xdr:oneCellAnchor>
    <xdr:from>
      <xdr:col>0</xdr:col>
      <xdr:colOff>535680</xdr:colOff>
      <xdr:row>32</xdr:row>
      <xdr:rowOff>141480</xdr:rowOff>
    </xdr:from>
    <xdr:ext cx="2402640" cy="113760"/>
    <xdr:sp macro="" textlink="">
      <xdr:nvSpPr>
        <xdr:cNvPr id="56" name="Rectangle 55">
          <a:extLst>
            <a:ext uri="{FF2B5EF4-FFF2-40B4-BE49-F238E27FC236}">
              <a16:creationId xmlns:a16="http://schemas.microsoft.com/office/drawing/2014/main" id="{00000000-0008-0000-1600-000038000000}"/>
            </a:ext>
          </a:extLst>
        </xdr:cNvPr>
        <xdr:cNvSpPr/>
      </xdr:nvSpPr>
      <xdr:spPr>
        <a:xfrm>
          <a:off x="535680" y="5932680"/>
          <a:ext cx="24026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Determine if the same product shipped elsewhere  </a:t>
          </a:r>
        </a:p>
      </xdr:txBody>
    </xdr:sp>
    <xdr:clientData/>
  </xdr:oneCellAnchor>
  <xdr:oneCellAnchor>
    <xdr:from>
      <xdr:col>1</xdr:col>
      <xdr:colOff>34560</xdr:colOff>
      <xdr:row>33</xdr:row>
      <xdr:rowOff>103320</xdr:rowOff>
    </xdr:from>
    <xdr:ext cx="1438920" cy="113760"/>
    <xdr:sp macro="" textlink="">
      <xdr:nvSpPr>
        <xdr:cNvPr id="57" name="Rectangle 56">
          <a:extLst>
            <a:ext uri="{FF2B5EF4-FFF2-40B4-BE49-F238E27FC236}">
              <a16:creationId xmlns:a16="http://schemas.microsoft.com/office/drawing/2014/main" id="{00000000-0008-0000-1600-000039000000}"/>
            </a:ext>
          </a:extLst>
        </xdr:cNvPr>
        <xdr:cNvSpPr/>
      </xdr:nvSpPr>
      <xdr:spPr>
        <a:xfrm>
          <a:off x="644160" y="6075495"/>
          <a:ext cx="14389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needs to be checked or recalled</a:t>
          </a:r>
        </a:p>
      </xdr:txBody>
    </xdr:sp>
    <xdr:clientData/>
  </xdr:oneCellAnchor>
  <xdr:oneCellAnchor>
    <xdr:from>
      <xdr:col>0</xdr:col>
      <xdr:colOff>285840</xdr:colOff>
      <xdr:row>34</xdr:row>
      <xdr:rowOff>67320</xdr:rowOff>
    </xdr:from>
    <xdr:ext cx="56520" cy="124560"/>
    <xdr:sp macro="" textlink="">
      <xdr:nvSpPr>
        <xdr:cNvPr id="58" name="Rectangle 57">
          <a:extLst>
            <a:ext uri="{FF2B5EF4-FFF2-40B4-BE49-F238E27FC236}">
              <a16:creationId xmlns:a16="http://schemas.microsoft.com/office/drawing/2014/main" id="{00000000-0008-0000-1600-00003A000000}"/>
            </a:ext>
          </a:extLst>
        </xdr:cNvPr>
        <xdr:cNvSpPr/>
      </xdr:nvSpPr>
      <xdr:spPr>
        <a:xfrm>
          <a:off x="285840" y="622047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414360</xdr:colOff>
      <xdr:row>34</xdr:row>
      <xdr:rowOff>67320</xdr:rowOff>
    </xdr:from>
    <xdr:ext cx="1865160" cy="113760"/>
    <xdr:sp macro="" textlink="">
      <xdr:nvSpPr>
        <xdr:cNvPr id="59" name="Rectangle 58">
          <a:extLst>
            <a:ext uri="{FF2B5EF4-FFF2-40B4-BE49-F238E27FC236}">
              <a16:creationId xmlns:a16="http://schemas.microsoft.com/office/drawing/2014/main" id="{00000000-0008-0000-1600-00003B000000}"/>
            </a:ext>
          </a:extLst>
        </xdr:cNvPr>
        <xdr:cNvSpPr/>
      </xdr:nvSpPr>
      <xdr:spPr>
        <a:xfrm>
          <a:off x="414360" y="6220470"/>
          <a:ext cx="18651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Verify the effectiveness of interim actions:</a:t>
          </a:r>
        </a:p>
      </xdr:txBody>
    </xdr:sp>
    <xdr:clientData/>
  </xdr:oneCellAnchor>
  <xdr:oneCellAnchor>
    <xdr:from>
      <xdr:col>0</xdr:col>
      <xdr:colOff>539280</xdr:colOff>
      <xdr:row>35</xdr:row>
      <xdr:rowOff>29160</xdr:rowOff>
    </xdr:from>
    <xdr:ext cx="2549520" cy="113760"/>
    <xdr:sp macro="" textlink="">
      <xdr:nvSpPr>
        <xdr:cNvPr id="60" name="Rectangle 59">
          <a:extLst>
            <a:ext uri="{FF2B5EF4-FFF2-40B4-BE49-F238E27FC236}">
              <a16:creationId xmlns:a16="http://schemas.microsoft.com/office/drawing/2014/main" id="{00000000-0008-0000-1600-00003C000000}"/>
            </a:ext>
          </a:extLst>
        </xdr:cNvPr>
        <xdr:cNvSpPr/>
      </xdr:nvSpPr>
      <xdr:spPr>
        <a:xfrm>
          <a:off x="539280" y="6363285"/>
          <a:ext cx="25495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Verification methods are determined, actions assigned</a:t>
          </a:r>
        </a:p>
      </xdr:txBody>
    </xdr:sp>
    <xdr:clientData/>
  </xdr:oneCellAnchor>
  <xdr:oneCellAnchor>
    <xdr:from>
      <xdr:col>0</xdr:col>
      <xdr:colOff>535680</xdr:colOff>
      <xdr:row>35</xdr:row>
      <xdr:rowOff>153720</xdr:rowOff>
    </xdr:from>
    <xdr:ext cx="2231640" cy="113760"/>
    <xdr:sp macro="" textlink="">
      <xdr:nvSpPr>
        <xdr:cNvPr id="61" name="Rectangle 60">
          <a:extLst>
            <a:ext uri="{FF2B5EF4-FFF2-40B4-BE49-F238E27FC236}">
              <a16:creationId xmlns:a16="http://schemas.microsoft.com/office/drawing/2014/main" id="{00000000-0008-0000-1600-00003D000000}"/>
            </a:ext>
          </a:extLst>
        </xdr:cNvPr>
        <xdr:cNvSpPr/>
      </xdr:nvSpPr>
      <xdr:spPr>
        <a:xfrm>
          <a:off x="535680" y="6487845"/>
          <a:ext cx="22316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Results are recorded and confirm effectiveness</a:t>
          </a:r>
        </a:p>
      </xdr:txBody>
    </xdr:sp>
    <xdr:clientData/>
  </xdr:oneCellAnchor>
  <xdr:oneCellAnchor>
    <xdr:from>
      <xdr:col>6</xdr:col>
      <xdr:colOff>150840</xdr:colOff>
      <xdr:row>12</xdr:row>
      <xdr:rowOff>48240</xdr:rowOff>
    </xdr:from>
    <xdr:ext cx="3087000" cy="2017439"/>
    <xdr:sp macro="" textlink="">
      <xdr:nvSpPr>
        <xdr:cNvPr id="62" name="Rectangle 61">
          <a:extLst>
            <a:ext uri="{FF2B5EF4-FFF2-40B4-BE49-F238E27FC236}">
              <a16:creationId xmlns:a16="http://schemas.microsoft.com/office/drawing/2014/main" id="{00000000-0008-0000-1600-00003E000000}"/>
            </a:ext>
          </a:extLst>
        </xdr:cNvPr>
        <xdr:cNvSpPr/>
      </xdr:nvSpPr>
      <xdr:spPr>
        <a:xfrm>
          <a:off x="3808440" y="2219940"/>
          <a:ext cx="3087000" cy="2017439"/>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217440</xdr:colOff>
      <xdr:row>12</xdr:row>
      <xdr:rowOff>90000</xdr:rowOff>
    </xdr:from>
    <xdr:ext cx="128160" cy="128160"/>
    <xdr:sp macro="" textlink="">
      <xdr:nvSpPr>
        <xdr:cNvPr id="63" name="Rectangle 62">
          <a:extLst>
            <a:ext uri="{FF2B5EF4-FFF2-40B4-BE49-F238E27FC236}">
              <a16:creationId xmlns:a16="http://schemas.microsoft.com/office/drawing/2014/main" id="{00000000-0008-0000-1600-00003F000000}"/>
            </a:ext>
          </a:extLst>
        </xdr:cNvPr>
        <xdr:cNvSpPr/>
      </xdr:nvSpPr>
      <xdr:spPr>
        <a:xfrm>
          <a:off x="3875040" y="2261700"/>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5.</a:t>
          </a:r>
        </a:p>
      </xdr:txBody>
    </xdr:sp>
    <xdr:clientData/>
  </xdr:oneCellAnchor>
  <xdr:oneCellAnchor>
    <xdr:from>
      <xdr:col>6</xdr:col>
      <xdr:colOff>347760</xdr:colOff>
      <xdr:row>12</xdr:row>
      <xdr:rowOff>90000</xdr:rowOff>
    </xdr:from>
    <xdr:ext cx="1426320" cy="128160"/>
    <xdr:sp macro="" textlink="">
      <xdr:nvSpPr>
        <xdr:cNvPr id="64" name="Rectangle 63">
          <a:extLst>
            <a:ext uri="{FF2B5EF4-FFF2-40B4-BE49-F238E27FC236}">
              <a16:creationId xmlns:a16="http://schemas.microsoft.com/office/drawing/2014/main" id="{00000000-0008-0000-1600-000040000000}"/>
            </a:ext>
          </a:extLst>
        </xdr:cNvPr>
        <xdr:cNvSpPr/>
      </xdr:nvSpPr>
      <xdr:spPr>
        <a:xfrm>
          <a:off x="4005360" y="2261700"/>
          <a:ext cx="142632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Determine Corrective Action</a:t>
          </a:r>
        </a:p>
      </xdr:txBody>
    </xdr:sp>
    <xdr:clientData/>
  </xdr:oneCellAnchor>
  <xdr:oneCellAnchor>
    <xdr:from>
      <xdr:col>6</xdr:col>
      <xdr:colOff>350640</xdr:colOff>
      <xdr:row>13</xdr:row>
      <xdr:rowOff>47880</xdr:rowOff>
    </xdr:from>
    <xdr:ext cx="1534320" cy="9720"/>
    <xdr:sp macro="" textlink="">
      <xdr:nvSpPr>
        <xdr:cNvPr id="65" name="Line 64">
          <a:extLst>
            <a:ext uri="{FF2B5EF4-FFF2-40B4-BE49-F238E27FC236}">
              <a16:creationId xmlns:a16="http://schemas.microsoft.com/office/drawing/2014/main" id="{00000000-0008-0000-1600-000041000000}"/>
            </a:ext>
          </a:extLst>
        </xdr:cNvPr>
        <xdr:cNvSpPr/>
      </xdr:nvSpPr>
      <xdr:spPr>
        <a:xfrm>
          <a:off x="4008240" y="2400555"/>
          <a:ext cx="1534320" cy="972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331560</xdr:colOff>
      <xdr:row>13</xdr:row>
      <xdr:rowOff>90000</xdr:rowOff>
    </xdr:from>
    <xdr:ext cx="56520" cy="124560"/>
    <xdr:sp macro="" textlink="">
      <xdr:nvSpPr>
        <xdr:cNvPr id="66" name="Rectangle 65">
          <a:extLst>
            <a:ext uri="{FF2B5EF4-FFF2-40B4-BE49-F238E27FC236}">
              <a16:creationId xmlns:a16="http://schemas.microsoft.com/office/drawing/2014/main" id="{00000000-0008-0000-1600-000042000000}"/>
            </a:ext>
          </a:extLst>
        </xdr:cNvPr>
        <xdr:cNvSpPr/>
      </xdr:nvSpPr>
      <xdr:spPr>
        <a:xfrm>
          <a:off x="3989160" y="244267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453239</xdr:colOff>
      <xdr:row>13</xdr:row>
      <xdr:rowOff>90000</xdr:rowOff>
    </xdr:from>
    <xdr:ext cx="1410839" cy="113760"/>
    <xdr:sp macro="" textlink="">
      <xdr:nvSpPr>
        <xdr:cNvPr id="67" name="Rectangle 66">
          <a:extLst>
            <a:ext uri="{FF2B5EF4-FFF2-40B4-BE49-F238E27FC236}">
              <a16:creationId xmlns:a16="http://schemas.microsoft.com/office/drawing/2014/main" id="{00000000-0008-0000-1600-000043000000}"/>
            </a:ext>
          </a:extLst>
        </xdr:cNvPr>
        <xdr:cNvSpPr/>
      </xdr:nvSpPr>
      <xdr:spPr>
        <a:xfrm>
          <a:off x="4110839" y="2442675"/>
          <a:ext cx="141083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Develop and evaluate solutions</a:t>
          </a:r>
        </a:p>
      </xdr:txBody>
    </xdr:sp>
    <xdr:clientData/>
  </xdr:oneCellAnchor>
  <xdr:oneCellAnchor>
    <xdr:from>
      <xdr:col>6</xdr:col>
      <xdr:colOff>560520</xdr:colOff>
      <xdr:row>14</xdr:row>
      <xdr:rowOff>51840</xdr:rowOff>
    </xdr:from>
    <xdr:ext cx="85320" cy="113760"/>
    <xdr:sp macro="" textlink="">
      <xdr:nvSpPr>
        <xdr:cNvPr id="68" name="Rectangle 67">
          <a:extLst>
            <a:ext uri="{FF2B5EF4-FFF2-40B4-BE49-F238E27FC236}">
              <a16:creationId xmlns:a16="http://schemas.microsoft.com/office/drawing/2014/main" id="{00000000-0008-0000-1600-000044000000}"/>
            </a:ext>
          </a:extLst>
        </xdr:cNvPr>
        <xdr:cNvSpPr/>
      </xdr:nvSpPr>
      <xdr:spPr>
        <a:xfrm>
          <a:off x="4218120" y="258549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75600</xdr:colOff>
      <xdr:row>14</xdr:row>
      <xdr:rowOff>51840</xdr:rowOff>
    </xdr:from>
    <xdr:ext cx="1968480" cy="113760"/>
    <xdr:sp macro="" textlink="">
      <xdr:nvSpPr>
        <xdr:cNvPr id="69" name="Rectangle 68">
          <a:extLst>
            <a:ext uri="{FF2B5EF4-FFF2-40B4-BE49-F238E27FC236}">
              <a16:creationId xmlns:a16="http://schemas.microsoft.com/office/drawing/2014/main" id="{00000000-0008-0000-1600-000045000000}"/>
            </a:ext>
          </a:extLst>
        </xdr:cNvPr>
        <xdr:cNvSpPr/>
      </xdr:nvSpPr>
      <xdr:spPr>
        <a:xfrm>
          <a:off x="4342800" y="2585490"/>
          <a:ext cx="1968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Confirm key characteristics critical to quality</a:t>
          </a:r>
        </a:p>
      </xdr:txBody>
    </xdr:sp>
    <xdr:clientData/>
  </xdr:oneCellAnchor>
  <xdr:oneCellAnchor>
    <xdr:from>
      <xdr:col>6</xdr:col>
      <xdr:colOff>560520</xdr:colOff>
      <xdr:row>15</xdr:row>
      <xdr:rowOff>14040</xdr:rowOff>
    </xdr:from>
    <xdr:ext cx="85320" cy="113760"/>
    <xdr:sp macro="" textlink="">
      <xdr:nvSpPr>
        <xdr:cNvPr id="70" name="Rectangle 69">
          <a:extLst>
            <a:ext uri="{FF2B5EF4-FFF2-40B4-BE49-F238E27FC236}">
              <a16:creationId xmlns:a16="http://schemas.microsoft.com/office/drawing/2014/main" id="{00000000-0008-0000-1600-000046000000}"/>
            </a:ext>
          </a:extLst>
        </xdr:cNvPr>
        <xdr:cNvSpPr/>
      </xdr:nvSpPr>
      <xdr:spPr>
        <a:xfrm>
          <a:off x="4218120" y="272866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68040</xdr:colOff>
      <xdr:row>15</xdr:row>
      <xdr:rowOff>14040</xdr:rowOff>
    </xdr:from>
    <xdr:ext cx="632520" cy="113760"/>
    <xdr:sp macro="" textlink="">
      <xdr:nvSpPr>
        <xdr:cNvPr id="71" name="Rectangle 70">
          <a:extLst>
            <a:ext uri="{FF2B5EF4-FFF2-40B4-BE49-F238E27FC236}">
              <a16:creationId xmlns:a16="http://schemas.microsoft.com/office/drawing/2014/main" id="{00000000-0008-0000-1600-000047000000}"/>
            </a:ext>
          </a:extLst>
        </xdr:cNvPr>
        <xdr:cNvSpPr/>
      </xdr:nvSpPr>
      <xdr:spPr>
        <a:xfrm>
          <a:off x="4335240" y="2728665"/>
          <a:ext cx="6325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Develop Poka</a:t>
          </a:r>
        </a:p>
      </xdr:txBody>
    </xdr:sp>
    <xdr:clientData/>
  </xdr:oneCellAnchor>
  <xdr:oneCellAnchor>
    <xdr:from>
      <xdr:col>8</xdr:col>
      <xdr:colOff>95400</xdr:colOff>
      <xdr:row>15</xdr:row>
      <xdr:rowOff>14040</xdr:rowOff>
    </xdr:from>
    <xdr:ext cx="34560" cy="113760"/>
    <xdr:sp macro="" textlink="">
      <xdr:nvSpPr>
        <xdr:cNvPr id="72" name="Rectangle 71">
          <a:extLst>
            <a:ext uri="{FF2B5EF4-FFF2-40B4-BE49-F238E27FC236}">
              <a16:creationId xmlns:a16="http://schemas.microsoft.com/office/drawing/2014/main" id="{00000000-0008-0000-1600-000048000000}"/>
            </a:ext>
          </a:extLst>
        </xdr:cNvPr>
        <xdr:cNvSpPr/>
      </xdr:nvSpPr>
      <xdr:spPr>
        <a:xfrm>
          <a:off x="4972200" y="272866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8</xdr:col>
      <xdr:colOff>141120</xdr:colOff>
      <xdr:row>15</xdr:row>
      <xdr:rowOff>14040</xdr:rowOff>
    </xdr:from>
    <xdr:ext cx="634320" cy="113760"/>
    <xdr:sp macro="" textlink="">
      <xdr:nvSpPr>
        <xdr:cNvPr id="73" name="Rectangle 72">
          <a:extLst>
            <a:ext uri="{FF2B5EF4-FFF2-40B4-BE49-F238E27FC236}">
              <a16:creationId xmlns:a16="http://schemas.microsoft.com/office/drawing/2014/main" id="{00000000-0008-0000-1600-000049000000}"/>
            </a:ext>
          </a:extLst>
        </xdr:cNvPr>
        <xdr:cNvSpPr/>
      </xdr:nvSpPr>
      <xdr:spPr>
        <a:xfrm>
          <a:off x="5017920" y="2728665"/>
          <a:ext cx="634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Yoke (mistake</a:t>
          </a:r>
        </a:p>
      </xdr:txBody>
    </xdr:sp>
    <xdr:clientData/>
  </xdr:oneCellAnchor>
  <xdr:oneCellAnchor>
    <xdr:from>
      <xdr:col>9</xdr:col>
      <xdr:colOff>178920</xdr:colOff>
      <xdr:row>15</xdr:row>
      <xdr:rowOff>14040</xdr:rowOff>
    </xdr:from>
    <xdr:ext cx="34560" cy="113760"/>
    <xdr:sp macro="" textlink="">
      <xdr:nvSpPr>
        <xdr:cNvPr id="74" name="Rectangle 73">
          <a:extLst>
            <a:ext uri="{FF2B5EF4-FFF2-40B4-BE49-F238E27FC236}">
              <a16:creationId xmlns:a16="http://schemas.microsoft.com/office/drawing/2014/main" id="{00000000-0008-0000-1600-00004A000000}"/>
            </a:ext>
          </a:extLst>
        </xdr:cNvPr>
        <xdr:cNvSpPr/>
      </xdr:nvSpPr>
      <xdr:spPr>
        <a:xfrm>
          <a:off x="5665320" y="272866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9</xdr:col>
      <xdr:colOff>221760</xdr:colOff>
      <xdr:row>15</xdr:row>
      <xdr:rowOff>14040</xdr:rowOff>
    </xdr:from>
    <xdr:ext cx="829439" cy="113760"/>
    <xdr:sp macro="" textlink="">
      <xdr:nvSpPr>
        <xdr:cNvPr id="75" name="Rectangle 74">
          <a:extLst>
            <a:ext uri="{FF2B5EF4-FFF2-40B4-BE49-F238E27FC236}">
              <a16:creationId xmlns:a16="http://schemas.microsoft.com/office/drawing/2014/main" id="{00000000-0008-0000-1600-00004B000000}"/>
            </a:ext>
          </a:extLst>
        </xdr:cNvPr>
        <xdr:cNvSpPr/>
      </xdr:nvSpPr>
      <xdr:spPr>
        <a:xfrm>
          <a:off x="5708160" y="2728665"/>
          <a:ext cx="82943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proofing) solutions</a:t>
          </a:r>
        </a:p>
      </xdr:txBody>
    </xdr:sp>
    <xdr:clientData/>
  </xdr:oneCellAnchor>
  <xdr:oneCellAnchor>
    <xdr:from>
      <xdr:col>6</xdr:col>
      <xdr:colOff>560520</xdr:colOff>
      <xdr:row>15</xdr:row>
      <xdr:rowOff>141480</xdr:rowOff>
    </xdr:from>
    <xdr:ext cx="85320" cy="113760"/>
    <xdr:sp macro="" textlink="">
      <xdr:nvSpPr>
        <xdr:cNvPr id="76" name="Rectangle 75">
          <a:extLst>
            <a:ext uri="{FF2B5EF4-FFF2-40B4-BE49-F238E27FC236}">
              <a16:creationId xmlns:a16="http://schemas.microsoft.com/office/drawing/2014/main" id="{00000000-0008-0000-1600-00004C000000}"/>
            </a:ext>
          </a:extLst>
        </xdr:cNvPr>
        <xdr:cNvSpPr/>
      </xdr:nvSpPr>
      <xdr:spPr>
        <a:xfrm>
          <a:off x="4218120" y="285610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70200</xdr:colOff>
      <xdr:row>15</xdr:row>
      <xdr:rowOff>141480</xdr:rowOff>
    </xdr:from>
    <xdr:ext cx="1032839" cy="113760"/>
    <xdr:sp macro="" textlink="">
      <xdr:nvSpPr>
        <xdr:cNvPr id="77" name="Rectangle 76">
          <a:extLst>
            <a:ext uri="{FF2B5EF4-FFF2-40B4-BE49-F238E27FC236}">
              <a16:creationId xmlns:a16="http://schemas.microsoft.com/office/drawing/2014/main" id="{00000000-0008-0000-1600-00004D000000}"/>
            </a:ext>
          </a:extLst>
        </xdr:cNvPr>
        <xdr:cNvSpPr/>
      </xdr:nvSpPr>
      <xdr:spPr>
        <a:xfrm>
          <a:off x="4337400" y="2856105"/>
          <a:ext cx="103283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Develop Jidoka (detect</a:t>
          </a:r>
        </a:p>
      </xdr:txBody>
    </xdr:sp>
    <xdr:clientData/>
  </xdr:oneCellAnchor>
  <xdr:oneCellAnchor>
    <xdr:from>
      <xdr:col>8</xdr:col>
      <xdr:colOff>514439</xdr:colOff>
      <xdr:row>15</xdr:row>
      <xdr:rowOff>141480</xdr:rowOff>
    </xdr:from>
    <xdr:ext cx="34560" cy="113760"/>
    <xdr:sp macro="" textlink="">
      <xdr:nvSpPr>
        <xdr:cNvPr id="78" name="Rectangle 77">
          <a:extLst>
            <a:ext uri="{FF2B5EF4-FFF2-40B4-BE49-F238E27FC236}">
              <a16:creationId xmlns:a16="http://schemas.microsoft.com/office/drawing/2014/main" id="{00000000-0008-0000-1600-00004E000000}"/>
            </a:ext>
          </a:extLst>
        </xdr:cNvPr>
        <xdr:cNvSpPr/>
      </xdr:nvSpPr>
      <xdr:spPr>
        <a:xfrm>
          <a:off x="5391239" y="285610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8</xdr:col>
      <xdr:colOff>553320</xdr:colOff>
      <xdr:row>15</xdr:row>
      <xdr:rowOff>141480</xdr:rowOff>
    </xdr:from>
    <xdr:ext cx="192600" cy="113760"/>
    <xdr:sp macro="" textlink="">
      <xdr:nvSpPr>
        <xdr:cNvPr id="79" name="Rectangle 78">
          <a:extLst>
            <a:ext uri="{FF2B5EF4-FFF2-40B4-BE49-F238E27FC236}">
              <a16:creationId xmlns:a16="http://schemas.microsoft.com/office/drawing/2014/main" id="{00000000-0008-0000-1600-00004F000000}"/>
            </a:ext>
          </a:extLst>
        </xdr:cNvPr>
        <xdr:cNvSpPr/>
      </xdr:nvSpPr>
      <xdr:spPr>
        <a:xfrm>
          <a:off x="5430120" y="2856105"/>
          <a:ext cx="192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stop</a:t>
          </a:r>
        </a:p>
      </xdr:txBody>
    </xdr:sp>
    <xdr:clientData/>
  </xdr:oneCellAnchor>
  <xdr:oneCellAnchor>
    <xdr:from>
      <xdr:col>9</xdr:col>
      <xdr:colOff>133200</xdr:colOff>
      <xdr:row>15</xdr:row>
      <xdr:rowOff>141480</xdr:rowOff>
    </xdr:from>
    <xdr:ext cx="34560" cy="113760"/>
    <xdr:sp macro="" textlink="">
      <xdr:nvSpPr>
        <xdr:cNvPr id="80" name="Rectangle 79">
          <a:extLst>
            <a:ext uri="{FF2B5EF4-FFF2-40B4-BE49-F238E27FC236}">
              <a16:creationId xmlns:a16="http://schemas.microsoft.com/office/drawing/2014/main" id="{00000000-0008-0000-1600-000050000000}"/>
            </a:ext>
          </a:extLst>
        </xdr:cNvPr>
        <xdr:cNvSpPr/>
      </xdr:nvSpPr>
      <xdr:spPr>
        <a:xfrm>
          <a:off x="5619600" y="285610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9</xdr:col>
      <xdr:colOff>167760</xdr:colOff>
      <xdr:row>15</xdr:row>
      <xdr:rowOff>141480</xdr:rowOff>
    </xdr:from>
    <xdr:ext cx="762120" cy="113760"/>
    <xdr:sp macro="" textlink="">
      <xdr:nvSpPr>
        <xdr:cNvPr id="81" name="Rectangle 80">
          <a:extLst>
            <a:ext uri="{FF2B5EF4-FFF2-40B4-BE49-F238E27FC236}">
              <a16:creationId xmlns:a16="http://schemas.microsoft.com/office/drawing/2014/main" id="{00000000-0008-0000-1600-000051000000}"/>
            </a:ext>
          </a:extLst>
        </xdr:cNvPr>
        <xdr:cNvSpPr/>
      </xdr:nvSpPr>
      <xdr:spPr>
        <a:xfrm>
          <a:off x="5654160" y="2856105"/>
          <a:ext cx="7621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fix) mechanisms</a:t>
          </a:r>
        </a:p>
      </xdr:txBody>
    </xdr:sp>
    <xdr:clientData/>
  </xdr:oneCellAnchor>
  <xdr:oneCellAnchor>
    <xdr:from>
      <xdr:col>6</xdr:col>
      <xdr:colOff>560520</xdr:colOff>
      <xdr:row>16</xdr:row>
      <xdr:rowOff>97560</xdr:rowOff>
    </xdr:from>
    <xdr:ext cx="85320" cy="113760"/>
    <xdr:sp macro="" textlink="">
      <xdr:nvSpPr>
        <xdr:cNvPr id="82" name="Rectangle 81">
          <a:extLst>
            <a:ext uri="{FF2B5EF4-FFF2-40B4-BE49-F238E27FC236}">
              <a16:creationId xmlns:a16="http://schemas.microsoft.com/office/drawing/2014/main" id="{00000000-0008-0000-1600-000052000000}"/>
            </a:ext>
          </a:extLst>
        </xdr:cNvPr>
        <xdr:cNvSpPr/>
      </xdr:nvSpPr>
      <xdr:spPr>
        <a:xfrm>
          <a:off x="4218120" y="299316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76680</xdr:colOff>
      <xdr:row>16</xdr:row>
      <xdr:rowOff>97560</xdr:rowOff>
    </xdr:from>
    <xdr:ext cx="2109960" cy="113760"/>
    <xdr:sp macro="" textlink="">
      <xdr:nvSpPr>
        <xdr:cNvPr id="83" name="Rectangle 82">
          <a:extLst>
            <a:ext uri="{FF2B5EF4-FFF2-40B4-BE49-F238E27FC236}">
              <a16:creationId xmlns:a16="http://schemas.microsoft.com/office/drawing/2014/main" id="{00000000-0008-0000-1600-000053000000}"/>
            </a:ext>
          </a:extLst>
        </xdr:cNvPr>
        <xdr:cNvSpPr/>
      </xdr:nvSpPr>
      <xdr:spPr>
        <a:xfrm>
          <a:off x="4343880" y="2993160"/>
          <a:ext cx="21099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Evaluate the cost vs. benefit of various choices</a:t>
          </a:r>
        </a:p>
      </xdr:txBody>
    </xdr:sp>
    <xdr:clientData/>
  </xdr:oneCellAnchor>
  <xdr:oneCellAnchor>
    <xdr:from>
      <xdr:col>6</xdr:col>
      <xdr:colOff>560520</xdr:colOff>
      <xdr:row>17</xdr:row>
      <xdr:rowOff>59760</xdr:rowOff>
    </xdr:from>
    <xdr:ext cx="85320" cy="113760"/>
    <xdr:sp macro="" textlink="">
      <xdr:nvSpPr>
        <xdr:cNvPr id="84" name="Rectangle 83">
          <a:extLst>
            <a:ext uri="{FF2B5EF4-FFF2-40B4-BE49-F238E27FC236}">
              <a16:creationId xmlns:a16="http://schemas.microsoft.com/office/drawing/2014/main" id="{00000000-0008-0000-1600-000054000000}"/>
            </a:ext>
          </a:extLst>
        </xdr:cNvPr>
        <xdr:cNvSpPr/>
      </xdr:nvSpPr>
      <xdr:spPr>
        <a:xfrm>
          <a:off x="4218120" y="313633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80280</xdr:colOff>
      <xdr:row>17</xdr:row>
      <xdr:rowOff>59760</xdr:rowOff>
    </xdr:from>
    <xdr:ext cx="2284560" cy="113760"/>
    <xdr:sp macro="" textlink="">
      <xdr:nvSpPr>
        <xdr:cNvPr id="85" name="Rectangle 84">
          <a:extLst>
            <a:ext uri="{FF2B5EF4-FFF2-40B4-BE49-F238E27FC236}">
              <a16:creationId xmlns:a16="http://schemas.microsoft.com/office/drawing/2014/main" id="{00000000-0008-0000-1600-000055000000}"/>
            </a:ext>
          </a:extLst>
        </xdr:cNvPr>
        <xdr:cNvSpPr/>
      </xdr:nvSpPr>
      <xdr:spPr>
        <a:xfrm>
          <a:off x="4347480" y="3136335"/>
          <a:ext cx="228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Use Force Field Analysis to identify and show  key</a:t>
          </a:r>
        </a:p>
      </xdr:txBody>
    </xdr:sp>
    <xdr:clientData/>
  </xdr:oneCellAnchor>
  <xdr:oneCellAnchor>
    <xdr:from>
      <xdr:col>7</xdr:col>
      <xdr:colOff>78120</xdr:colOff>
      <xdr:row>18</xdr:row>
      <xdr:rowOff>21600</xdr:rowOff>
    </xdr:from>
    <xdr:ext cx="2351880" cy="113760"/>
    <xdr:sp macro="" textlink="">
      <xdr:nvSpPr>
        <xdr:cNvPr id="86" name="Rectangle 85">
          <a:extLst>
            <a:ext uri="{FF2B5EF4-FFF2-40B4-BE49-F238E27FC236}">
              <a16:creationId xmlns:a16="http://schemas.microsoft.com/office/drawing/2014/main" id="{00000000-0008-0000-1600-000056000000}"/>
            </a:ext>
          </a:extLst>
        </xdr:cNvPr>
        <xdr:cNvSpPr/>
      </xdr:nvSpPr>
      <xdr:spPr>
        <a:xfrm>
          <a:off x="4345320" y="3279150"/>
          <a:ext cx="23518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driving and restraining forces toward implementation</a:t>
          </a:r>
        </a:p>
      </xdr:txBody>
    </xdr:sp>
    <xdr:clientData/>
  </xdr:oneCellAnchor>
  <xdr:oneCellAnchor>
    <xdr:from>
      <xdr:col>6</xdr:col>
      <xdr:colOff>560520</xdr:colOff>
      <xdr:row>18</xdr:row>
      <xdr:rowOff>141480</xdr:rowOff>
    </xdr:from>
    <xdr:ext cx="85320" cy="113760"/>
    <xdr:sp macro="" textlink="">
      <xdr:nvSpPr>
        <xdr:cNvPr id="87" name="Rectangle 86">
          <a:extLst>
            <a:ext uri="{FF2B5EF4-FFF2-40B4-BE49-F238E27FC236}">
              <a16:creationId xmlns:a16="http://schemas.microsoft.com/office/drawing/2014/main" id="{00000000-0008-0000-1600-000057000000}"/>
            </a:ext>
          </a:extLst>
        </xdr:cNvPr>
        <xdr:cNvSpPr/>
      </xdr:nvSpPr>
      <xdr:spPr>
        <a:xfrm>
          <a:off x="4218120" y="339903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76680</xdr:colOff>
      <xdr:row>18</xdr:row>
      <xdr:rowOff>141480</xdr:rowOff>
    </xdr:from>
    <xdr:ext cx="2081520" cy="113760"/>
    <xdr:sp macro="" textlink="">
      <xdr:nvSpPr>
        <xdr:cNvPr id="88" name="Rectangle 87">
          <a:extLst>
            <a:ext uri="{FF2B5EF4-FFF2-40B4-BE49-F238E27FC236}">
              <a16:creationId xmlns:a16="http://schemas.microsoft.com/office/drawing/2014/main" id="{00000000-0008-0000-1600-000058000000}"/>
            </a:ext>
          </a:extLst>
        </xdr:cNvPr>
        <xdr:cNvSpPr/>
      </xdr:nvSpPr>
      <xdr:spPr>
        <a:xfrm>
          <a:off x="4343880" y="3399030"/>
          <a:ext cx="20815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Evaluate the degree of improvement using pre</a:t>
          </a:r>
        </a:p>
      </xdr:txBody>
    </xdr:sp>
    <xdr:clientData/>
  </xdr:oneCellAnchor>
  <xdr:oneCellAnchor>
    <xdr:from>
      <xdr:col>10</xdr:col>
      <xdr:colOff>369719</xdr:colOff>
      <xdr:row>18</xdr:row>
      <xdr:rowOff>141480</xdr:rowOff>
    </xdr:from>
    <xdr:ext cx="34560" cy="113760"/>
    <xdr:sp macro="" textlink="">
      <xdr:nvSpPr>
        <xdr:cNvPr id="89" name="Rectangle 88">
          <a:extLst>
            <a:ext uri="{FF2B5EF4-FFF2-40B4-BE49-F238E27FC236}">
              <a16:creationId xmlns:a16="http://schemas.microsoft.com/office/drawing/2014/main" id="{00000000-0008-0000-1600-000059000000}"/>
            </a:ext>
          </a:extLst>
        </xdr:cNvPr>
        <xdr:cNvSpPr/>
      </xdr:nvSpPr>
      <xdr:spPr>
        <a:xfrm>
          <a:off x="6465719" y="3399030"/>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7</xdr:col>
      <xdr:colOff>68760</xdr:colOff>
      <xdr:row>19</xdr:row>
      <xdr:rowOff>103320</xdr:rowOff>
    </xdr:from>
    <xdr:ext cx="699840" cy="113760"/>
    <xdr:sp macro="" textlink="">
      <xdr:nvSpPr>
        <xdr:cNvPr id="90" name="Rectangle 89">
          <a:extLst>
            <a:ext uri="{FF2B5EF4-FFF2-40B4-BE49-F238E27FC236}">
              <a16:creationId xmlns:a16="http://schemas.microsoft.com/office/drawing/2014/main" id="{00000000-0008-0000-1600-00005A000000}"/>
            </a:ext>
          </a:extLst>
        </xdr:cNvPr>
        <xdr:cNvSpPr/>
      </xdr:nvSpPr>
      <xdr:spPr>
        <a:xfrm>
          <a:off x="4335960" y="3541845"/>
          <a:ext cx="6998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production runs</a:t>
          </a:r>
        </a:p>
      </xdr:txBody>
    </xdr:sp>
    <xdr:clientData/>
  </xdr:oneCellAnchor>
  <xdr:oneCellAnchor>
    <xdr:from>
      <xdr:col>6</xdr:col>
      <xdr:colOff>331560</xdr:colOff>
      <xdr:row>20</xdr:row>
      <xdr:rowOff>73080</xdr:rowOff>
    </xdr:from>
    <xdr:ext cx="56520" cy="124560"/>
    <xdr:sp macro="" textlink="">
      <xdr:nvSpPr>
        <xdr:cNvPr id="91" name="Rectangle 90">
          <a:extLst>
            <a:ext uri="{FF2B5EF4-FFF2-40B4-BE49-F238E27FC236}">
              <a16:creationId xmlns:a16="http://schemas.microsoft.com/office/drawing/2014/main" id="{00000000-0008-0000-1600-00005B000000}"/>
            </a:ext>
          </a:extLst>
        </xdr:cNvPr>
        <xdr:cNvSpPr/>
      </xdr:nvSpPr>
      <xdr:spPr>
        <a:xfrm>
          <a:off x="3989160" y="369258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457559</xdr:colOff>
      <xdr:row>20</xdr:row>
      <xdr:rowOff>73080</xdr:rowOff>
    </xdr:from>
    <xdr:ext cx="2132280" cy="113760"/>
    <xdr:sp macro="" textlink="">
      <xdr:nvSpPr>
        <xdr:cNvPr id="92" name="Rectangle 91">
          <a:extLst>
            <a:ext uri="{FF2B5EF4-FFF2-40B4-BE49-F238E27FC236}">
              <a16:creationId xmlns:a16="http://schemas.microsoft.com/office/drawing/2014/main" id="{00000000-0008-0000-1600-00005C000000}"/>
            </a:ext>
          </a:extLst>
        </xdr:cNvPr>
        <xdr:cNvSpPr/>
      </xdr:nvSpPr>
      <xdr:spPr>
        <a:xfrm>
          <a:off x="4115159" y="3692580"/>
          <a:ext cx="21322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Construct an implementation plan consisting of:</a:t>
          </a:r>
        </a:p>
      </xdr:txBody>
    </xdr:sp>
    <xdr:clientData/>
  </xdr:oneCellAnchor>
  <xdr:oneCellAnchor>
    <xdr:from>
      <xdr:col>6</xdr:col>
      <xdr:colOff>560520</xdr:colOff>
      <xdr:row>21</xdr:row>
      <xdr:rowOff>29160</xdr:rowOff>
    </xdr:from>
    <xdr:ext cx="85320" cy="113760"/>
    <xdr:sp macro="" textlink="">
      <xdr:nvSpPr>
        <xdr:cNvPr id="93" name="Rectangle 92">
          <a:extLst>
            <a:ext uri="{FF2B5EF4-FFF2-40B4-BE49-F238E27FC236}">
              <a16:creationId xmlns:a16="http://schemas.microsoft.com/office/drawing/2014/main" id="{00000000-0008-0000-1600-00005D000000}"/>
            </a:ext>
          </a:extLst>
        </xdr:cNvPr>
        <xdr:cNvSpPr/>
      </xdr:nvSpPr>
      <xdr:spPr>
        <a:xfrm>
          <a:off x="4218120" y="382963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81000</xdr:colOff>
      <xdr:row>21</xdr:row>
      <xdr:rowOff>29160</xdr:rowOff>
    </xdr:from>
    <xdr:ext cx="2374200" cy="113760"/>
    <xdr:sp macro="" textlink="">
      <xdr:nvSpPr>
        <xdr:cNvPr id="94" name="Rectangle 93">
          <a:extLst>
            <a:ext uri="{FF2B5EF4-FFF2-40B4-BE49-F238E27FC236}">
              <a16:creationId xmlns:a16="http://schemas.microsoft.com/office/drawing/2014/main" id="{00000000-0008-0000-1600-00005E000000}"/>
            </a:ext>
          </a:extLst>
        </xdr:cNvPr>
        <xdr:cNvSpPr/>
      </xdr:nvSpPr>
      <xdr:spPr>
        <a:xfrm>
          <a:off x="4348200" y="3829635"/>
          <a:ext cx="23742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 prioritization matrix and/or overall project plan with</a:t>
          </a:r>
        </a:p>
      </xdr:txBody>
    </xdr:sp>
    <xdr:clientData/>
  </xdr:oneCellAnchor>
  <xdr:oneCellAnchor>
    <xdr:from>
      <xdr:col>7</xdr:col>
      <xdr:colOff>73800</xdr:colOff>
      <xdr:row>21</xdr:row>
      <xdr:rowOff>153360</xdr:rowOff>
    </xdr:from>
    <xdr:ext cx="1619280" cy="113760"/>
    <xdr:sp macro="" textlink="">
      <xdr:nvSpPr>
        <xdr:cNvPr id="95" name="Rectangle 94">
          <a:extLst>
            <a:ext uri="{FF2B5EF4-FFF2-40B4-BE49-F238E27FC236}">
              <a16:creationId xmlns:a16="http://schemas.microsoft.com/office/drawing/2014/main" id="{00000000-0008-0000-1600-00005F000000}"/>
            </a:ext>
          </a:extLst>
        </xdr:cNvPr>
        <xdr:cNvSpPr/>
      </xdr:nvSpPr>
      <xdr:spPr>
        <a:xfrm>
          <a:off x="4341000" y="3953835"/>
          <a:ext cx="16192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resources and authorization needed</a:t>
          </a:r>
        </a:p>
      </xdr:txBody>
    </xdr:sp>
    <xdr:clientData/>
  </xdr:oneCellAnchor>
  <xdr:oneCellAnchor>
    <xdr:from>
      <xdr:col>6</xdr:col>
      <xdr:colOff>560520</xdr:colOff>
      <xdr:row>22</xdr:row>
      <xdr:rowOff>110880</xdr:rowOff>
    </xdr:from>
    <xdr:ext cx="85320" cy="113760"/>
    <xdr:sp macro="" textlink="">
      <xdr:nvSpPr>
        <xdr:cNvPr id="96" name="Rectangle 95">
          <a:extLst>
            <a:ext uri="{FF2B5EF4-FFF2-40B4-BE49-F238E27FC236}">
              <a16:creationId xmlns:a16="http://schemas.microsoft.com/office/drawing/2014/main" id="{00000000-0008-0000-1600-000060000000}"/>
            </a:ext>
          </a:extLst>
        </xdr:cNvPr>
        <xdr:cNvSpPr/>
      </xdr:nvSpPr>
      <xdr:spPr>
        <a:xfrm>
          <a:off x="4218120" y="409233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77760</xdr:colOff>
      <xdr:row>22</xdr:row>
      <xdr:rowOff>110880</xdr:rowOff>
    </xdr:from>
    <xdr:ext cx="2346480" cy="113760"/>
    <xdr:sp macro="" textlink="">
      <xdr:nvSpPr>
        <xdr:cNvPr id="97" name="Rectangle 96">
          <a:extLst>
            <a:ext uri="{FF2B5EF4-FFF2-40B4-BE49-F238E27FC236}">
              <a16:creationId xmlns:a16="http://schemas.microsoft.com/office/drawing/2014/main" id="{00000000-0008-0000-1600-000061000000}"/>
            </a:ext>
          </a:extLst>
        </xdr:cNvPr>
        <xdr:cNvSpPr/>
      </xdr:nvSpPr>
      <xdr:spPr>
        <a:xfrm>
          <a:off x="4344960" y="4092330"/>
          <a:ext cx="2346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Specific action items required, persons responsible,</a:t>
          </a:r>
        </a:p>
      </xdr:txBody>
    </xdr:sp>
    <xdr:clientData/>
  </xdr:oneCellAnchor>
  <xdr:oneCellAnchor>
    <xdr:from>
      <xdr:col>7</xdr:col>
      <xdr:colOff>72000</xdr:colOff>
      <xdr:row>23</xdr:row>
      <xdr:rowOff>73080</xdr:rowOff>
    </xdr:from>
    <xdr:ext cx="1292040" cy="113760"/>
    <xdr:sp macro="" textlink="">
      <xdr:nvSpPr>
        <xdr:cNvPr id="98" name="Rectangle 97">
          <a:extLst>
            <a:ext uri="{FF2B5EF4-FFF2-40B4-BE49-F238E27FC236}">
              <a16:creationId xmlns:a16="http://schemas.microsoft.com/office/drawing/2014/main" id="{00000000-0008-0000-1600-000062000000}"/>
            </a:ext>
          </a:extLst>
        </xdr:cNvPr>
        <xdr:cNvSpPr/>
      </xdr:nvSpPr>
      <xdr:spPr>
        <a:xfrm>
          <a:off x="4339200" y="4235505"/>
          <a:ext cx="12920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due dates, results achieved,</a:t>
          </a:r>
        </a:p>
      </xdr:txBody>
    </xdr:sp>
    <xdr:clientData/>
  </xdr:oneCellAnchor>
  <xdr:oneCellAnchor>
    <xdr:from>
      <xdr:col>9</xdr:col>
      <xdr:colOff>181080</xdr:colOff>
      <xdr:row>23</xdr:row>
      <xdr:rowOff>73080</xdr:rowOff>
    </xdr:from>
    <xdr:ext cx="457559" cy="113760"/>
    <xdr:sp macro="" textlink="">
      <xdr:nvSpPr>
        <xdr:cNvPr id="99" name="Rectangle 98">
          <a:extLst>
            <a:ext uri="{FF2B5EF4-FFF2-40B4-BE49-F238E27FC236}">
              <a16:creationId xmlns:a16="http://schemas.microsoft.com/office/drawing/2014/main" id="{00000000-0008-0000-1600-000063000000}"/>
            </a:ext>
          </a:extLst>
        </xdr:cNvPr>
        <xdr:cNvSpPr/>
      </xdr:nvSpPr>
      <xdr:spPr>
        <a:xfrm>
          <a:off x="5667480" y="4235505"/>
          <a:ext cx="45755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and follow</a:t>
          </a:r>
        </a:p>
      </xdr:txBody>
    </xdr:sp>
    <xdr:clientData/>
  </xdr:oneCellAnchor>
  <xdr:oneCellAnchor>
    <xdr:from>
      <xdr:col>10</xdr:col>
      <xdr:colOff>49680</xdr:colOff>
      <xdr:row>23</xdr:row>
      <xdr:rowOff>73080</xdr:rowOff>
    </xdr:from>
    <xdr:ext cx="34560" cy="113760"/>
    <xdr:sp macro="" textlink="">
      <xdr:nvSpPr>
        <xdr:cNvPr id="100" name="Rectangle 99">
          <a:extLst>
            <a:ext uri="{FF2B5EF4-FFF2-40B4-BE49-F238E27FC236}">
              <a16:creationId xmlns:a16="http://schemas.microsoft.com/office/drawing/2014/main" id="{00000000-0008-0000-1600-000064000000}"/>
            </a:ext>
          </a:extLst>
        </xdr:cNvPr>
        <xdr:cNvSpPr/>
      </xdr:nvSpPr>
      <xdr:spPr>
        <a:xfrm>
          <a:off x="6145680" y="423550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10</xdr:col>
      <xdr:colOff>87840</xdr:colOff>
      <xdr:row>23</xdr:row>
      <xdr:rowOff>73080</xdr:rowOff>
    </xdr:from>
    <xdr:ext cx="141840" cy="113760"/>
    <xdr:sp macro="" textlink="">
      <xdr:nvSpPr>
        <xdr:cNvPr id="101" name="Rectangle 100">
          <a:extLst>
            <a:ext uri="{FF2B5EF4-FFF2-40B4-BE49-F238E27FC236}">
              <a16:creationId xmlns:a16="http://schemas.microsoft.com/office/drawing/2014/main" id="{00000000-0008-0000-1600-000065000000}"/>
            </a:ext>
          </a:extLst>
        </xdr:cNvPr>
        <xdr:cNvSpPr/>
      </xdr:nvSpPr>
      <xdr:spPr>
        <a:xfrm>
          <a:off x="6183840" y="4235505"/>
          <a:ext cx="1418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up</a:t>
          </a:r>
        </a:p>
      </xdr:txBody>
    </xdr:sp>
    <xdr:clientData/>
  </xdr:oneCellAnchor>
  <xdr:oneCellAnchor>
    <xdr:from>
      <xdr:col>0</xdr:col>
      <xdr:colOff>27000</xdr:colOff>
      <xdr:row>0</xdr:row>
      <xdr:rowOff>19440</xdr:rowOff>
    </xdr:from>
    <xdr:ext cx="6957720" cy="305640"/>
    <xdr:sp macro="" textlink="">
      <xdr:nvSpPr>
        <xdr:cNvPr id="102" name="Rectangle 101">
          <a:extLst>
            <a:ext uri="{FF2B5EF4-FFF2-40B4-BE49-F238E27FC236}">
              <a16:creationId xmlns:a16="http://schemas.microsoft.com/office/drawing/2014/main" id="{00000000-0008-0000-1600-000066000000}"/>
            </a:ext>
          </a:extLst>
        </xdr:cNvPr>
        <xdr:cNvSpPr/>
      </xdr:nvSpPr>
      <xdr:spPr>
        <a:xfrm>
          <a:off x="27000" y="19440"/>
          <a:ext cx="6957720" cy="30564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3</xdr:col>
      <xdr:colOff>559440</xdr:colOff>
      <xdr:row>0</xdr:row>
      <xdr:rowOff>67320</xdr:rowOff>
    </xdr:from>
    <xdr:ext cx="2036160" cy="199080"/>
    <xdr:sp macro="" textlink="">
      <xdr:nvSpPr>
        <xdr:cNvPr id="103" name="Rectangle 102">
          <a:extLst>
            <a:ext uri="{FF2B5EF4-FFF2-40B4-BE49-F238E27FC236}">
              <a16:creationId xmlns:a16="http://schemas.microsoft.com/office/drawing/2014/main" id="{00000000-0008-0000-1600-000067000000}"/>
            </a:ext>
          </a:extLst>
        </xdr:cNvPr>
        <xdr:cNvSpPr/>
      </xdr:nvSpPr>
      <xdr:spPr>
        <a:xfrm>
          <a:off x="2388240" y="67320"/>
          <a:ext cx="2036160" cy="19908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1400" b="0" i="0" u="none" strike="noStrike" kern="1200" spc="0">
              <a:solidFill>
                <a:srgbClr val="000000"/>
              </a:solidFill>
              <a:latin typeface="Arial" pitchFamily="18"/>
              <a:cs typeface="Arial"/>
            </a:rPr>
            <a:t>Corrective Action Process</a:t>
          </a:r>
        </a:p>
      </xdr:txBody>
    </xdr:sp>
    <xdr:clientData/>
  </xdr:oneCellAnchor>
  <xdr:oneCellAnchor>
    <xdr:from>
      <xdr:col>0</xdr:col>
      <xdr:colOff>103320</xdr:colOff>
      <xdr:row>38</xdr:row>
      <xdr:rowOff>86400</xdr:rowOff>
    </xdr:from>
    <xdr:ext cx="3087000" cy="2639160"/>
    <xdr:sp macro="" textlink="">
      <xdr:nvSpPr>
        <xdr:cNvPr id="104" name="Rectangle 103">
          <a:extLst>
            <a:ext uri="{FF2B5EF4-FFF2-40B4-BE49-F238E27FC236}">
              <a16:creationId xmlns:a16="http://schemas.microsoft.com/office/drawing/2014/main" id="{00000000-0008-0000-1600-000068000000}"/>
            </a:ext>
          </a:extLst>
        </xdr:cNvPr>
        <xdr:cNvSpPr/>
      </xdr:nvSpPr>
      <xdr:spPr>
        <a:xfrm>
          <a:off x="103320" y="6963450"/>
          <a:ext cx="3087000" cy="2639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171720</xdr:colOff>
      <xdr:row>38</xdr:row>
      <xdr:rowOff>141480</xdr:rowOff>
    </xdr:from>
    <xdr:ext cx="128160" cy="128160"/>
    <xdr:sp macro="" textlink="">
      <xdr:nvSpPr>
        <xdr:cNvPr id="105" name="Rectangle 104">
          <a:extLst>
            <a:ext uri="{FF2B5EF4-FFF2-40B4-BE49-F238E27FC236}">
              <a16:creationId xmlns:a16="http://schemas.microsoft.com/office/drawing/2014/main" id="{00000000-0008-0000-1600-000069000000}"/>
            </a:ext>
          </a:extLst>
        </xdr:cNvPr>
        <xdr:cNvSpPr/>
      </xdr:nvSpPr>
      <xdr:spPr>
        <a:xfrm>
          <a:off x="171720" y="7018530"/>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4.</a:t>
          </a:r>
        </a:p>
      </xdr:txBody>
    </xdr:sp>
    <xdr:clientData/>
  </xdr:oneCellAnchor>
  <xdr:oneCellAnchor>
    <xdr:from>
      <xdr:col>0</xdr:col>
      <xdr:colOff>304920</xdr:colOff>
      <xdr:row>38</xdr:row>
      <xdr:rowOff>141480</xdr:rowOff>
    </xdr:from>
    <xdr:ext cx="2260800" cy="128160"/>
    <xdr:sp macro="" textlink="">
      <xdr:nvSpPr>
        <xdr:cNvPr id="106" name="Rectangle 105">
          <a:extLst>
            <a:ext uri="{FF2B5EF4-FFF2-40B4-BE49-F238E27FC236}">
              <a16:creationId xmlns:a16="http://schemas.microsoft.com/office/drawing/2014/main" id="{00000000-0008-0000-1600-00006A000000}"/>
            </a:ext>
          </a:extLst>
        </xdr:cNvPr>
        <xdr:cNvSpPr/>
      </xdr:nvSpPr>
      <xdr:spPr>
        <a:xfrm>
          <a:off x="304920" y="7018530"/>
          <a:ext cx="226080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Identify and Verify Underlying Root Cause(s)</a:t>
          </a:r>
        </a:p>
      </xdr:txBody>
    </xdr:sp>
    <xdr:clientData/>
  </xdr:oneCellAnchor>
  <xdr:oneCellAnchor>
    <xdr:from>
      <xdr:col>0</xdr:col>
      <xdr:colOff>303120</xdr:colOff>
      <xdr:row>39</xdr:row>
      <xdr:rowOff>105120</xdr:rowOff>
    </xdr:from>
    <xdr:ext cx="2439360" cy="9360"/>
    <xdr:sp macro="" textlink="">
      <xdr:nvSpPr>
        <xdr:cNvPr id="107" name="Line 106">
          <a:extLst>
            <a:ext uri="{FF2B5EF4-FFF2-40B4-BE49-F238E27FC236}">
              <a16:creationId xmlns:a16="http://schemas.microsoft.com/office/drawing/2014/main" id="{00000000-0008-0000-1600-00006B000000}"/>
            </a:ext>
          </a:extLst>
        </xdr:cNvPr>
        <xdr:cNvSpPr/>
      </xdr:nvSpPr>
      <xdr:spPr>
        <a:xfrm>
          <a:off x="303120" y="7163145"/>
          <a:ext cx="2439360"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0</xdr:col>
      <xdr:colOff>285840</xdr:colOff>
      <xdr:row>39</xdr:row>
      <xdr:rowOff>135720</xdr:rowOff>
    </xdr:from>
    <xdr:ext cx="56520" cy="124560"/>
    <xdr:sp macro="" textlink="">
      <xdr:nvSpPr>
        <xdr:cNvPr id="108" name="Rectangle 107">
          <a:extLst>
            <a:ext uri="{FF2B5EF4-FFF2-40B4-BE49-F238E27FC236}">
              <a16:creationId xmlns:a16="http://schemas.microsoft.com/office/drawing/2014/main" id="{00000000-0008-0000-1600-00006C000000}"/>
            </a:ext>
          </a:extLst>
        </xdr:cNvPr>
        <xdr:cNvSpPr/>
      </xdr:nvSpPr>
      <xdr:spPr>
        <a:xfrm>
          <a:off x="285840" y="719374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412560</xdr:colOff>
      <xdr:row>39</xdr:row>
      <xdr:rowOff>135720</xdr:rowOff>
    </xdr:from>
    <xdr:ext cx="2188440" cy="113760"/>
    <xdr:sp macro="" textlink="">
      <xdr:nvSpPr>
        <xdr:cNvPr id="109" name="Rectangle 108">
          <a:extLst>
            <a:ext uri="{FF2B5EF4-FFF2-40B4-BE49-F238E27FC236}">
              <a16:creationId xmlns:a16="http://schemas.microsoft.com/office/drawing/2014/main" id="{00000000-0008-0000-1600-00006D000000}"/>
            </a:ext>
          </a:extLst>
        </xdr:cNvPr>
        <xdr:cNvSpPr/>
      </xdr:nvSpPr>
      <xdr:spPr>
        <a:xfrm>
          <a:off x="412560" y="7193745"/>
          <a:ext cx="21884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Identify potential causes for problem occurrence:</a:t>
          </a:r>
        </a:p>
      </xdr:txBody>
    </xdr:sp>
    <xdr:clientData/>
  </xdr:oneCellAnchor>
  <xdr:oneCellAnchor>
    <xdr:from>
      <xdr:col>0</xdr:col>
      <xdr:colOff>538560</xdr:colOff>
      <xdr:row>40</xdr:row>
      <xdr:rowOff>97560</xdr:rowOff>
    </xdr:from>
    <xdr:ext cx="2379600" cy="113760"/>
    <xdr:sp macro="" textlink="">
      <xdr:nvSpPr>
        <xdr:cNvPr id="110" name="Rectangle 109">
          <a:extLst>
            <a:ext uri="{FF2B5EF4-FFF2-40B4-BE49-F238E27FC236}">
              <a16:creationId xmlns:a16="http://schemas.microsoft.com/office/drawing/2014/main" id="{00000000-0008-0000-1600-00006E000000}"/>
            </a:ext>
          </a:extLst>
        </xdr:cNvPr>
        <xdr:cNvSpPr/>
      </xdr:nvSpPr>
      <xdr:spPr>
        <a:xfrm>
          <a:off x="538560" y="7336560"/>
          <a:ext cx="2379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Perform a Comparative Analysis (What Is / Is Not)</a:t>
          </a:r>
        </a:p>
      </xdr:txBody>
    </xdr:sp>
    <xdr:clientData/>
  </xdr:oneCellAnchor>
  <xdr:oneCellAnchor>
    <xdr:from>
      <xdr:col>0</xdr:col>
      <xdr:colOff>532800</xdr:colOff>
      <xdr:row>41</xdr:row>
      <xdr:rowOff>59760</xdr:rowOff>
    </xdr:from>
    <xdr:ext cx="1729800" cy="113760"/>
    <xdr:sp macro="" textlink="">
      <xdr:nvSpPr>
        <xdr:cNvPr id="111" name="Rectangle 110">
          <a:extLst>
            <a:ext uri="{FF2B5EF4-FFF2-40B4-BE49-F238E27FC236}">
              <a16:creationId xmlns:a16="http://schemas.microsoft.com/office/drawing/2014/main" id="{00000000-0008-0000-1600-00006F000000}"/>
            </a:ext>
          </a:extLst>
        </xdr:cNvPr>
        <xdr:cNvSpPr/>
      </xdr:nvSpPr>
      <xdr:spPr>
        <a:xfrm>
          <a:off x="532800" y="7479735"/>
          <a:ext cx="1729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Construct a Cause &amp; Effect diagram</a:t>
          </a:r>
        </a:p>
      </xdr:txBody>
    </xdr:sp>
    <xdr:clientData/>
  </xdr:oneCellAnchor>
  <xdr:oneCellAnchor>
    <xdr:from>
      <xdr:col>0</xdr:col>
      <xdr:colOff>536040</xdr:colOff>
      <xdr:row>42</xdr:row>
      <xdr:rowOff>21600</xdr:rowOff>
    </xdr:from>
    <xdr:ext cx="2487240" cy="113760"/>
    <xdr:sp macro="" textlink="">
      <xdr:nvSpPr>
        <xdr:cNvPr id="112" name="Rectangle 111">
          <a:extLst>
            <a:ext uri="{FF2B5EF4-FFF2-40B4-BE49-F238E27FC236}">
              <a16:creationId xmlns:a16="http://schemas.microsoft.com/office/drawing/2014/main" id="{00000000-0008-0000-1600-000070000000}"/>
            </a:ext>
          </a:extLst>
        </xdr:cNvPr>
        <xdr:cNvSpPr/>
      </xdr:nvSpPr>
      <xdr:spPr>
        <a:xfrm>
          <a:off x="536040" y="7622550"/>
          <a:ext cx="24872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Brainstorm potential causes with those involved with</a:t>
          </a:r>
        </a:p>
      </xdr:txBody>
    </xdr:sp>
    <xdr:clientData/>
  </xdr:oneCellAnchor>
  <xdr:oneCellAnchor>
    <xdr:from>
      <xdr:col>1</xdr:col>
      <xdr:colOff>30600</xdr:colOff>
      <xdr:row>42</xdr:row>
      <xdr:rowOff>141480</xdr:rowOff>
    </xdr:from>
    <xdr:ext cx="750600" cy="113760"/>
    <xdr:sp macro="" textlink="">
      <xdr:nvSpPr>
        <xdr:cNvPr id="113" name="Rectangle 112">
          <a:extLst>
            <a:ext uri="{FF2B5EF4-FFF2-40B4-BE49-F238E27FC236}">
              <a16:creationId xmlns:a16="http://schemas.microsoft.com/office/drawing/2014/main" id="{00000000-0008-0000-1600-000071000000}"/>
            </a:ext>
          </a:extLst>
        </xdr:cNvPr>
        <xdr:cNvSpPr/>
      </xdr:nvSpPr>
      <xdr:spPr>
        <a:xfrm>
          <a:off x="640200" y="7742430"/>
          <a:ext cx="750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performing tasks</a:t>
          </a:r>
        </a:p>
      </xdr:txBody>
    </xdr:sp>
    <xdr:clientData/>
  </xdr:oneCellAnchor>
  <xdr:oneCellAnchor>
    <xdr:from>
      <xdr:col>0</xdr:col>
      <xdr:colOff>285840</xdr:colOff>
      <xdr:row>43</xdr:row>
      <xdr:rowOff>110880</xdr:rowOff>
    </xdr:from>
    <xdr:ext cx="56520" cy="124560"/>
    <xdr:sp macro="" textlink="">
      <xdr:nvSpPr>
        <xdr:cNvPr id="114" name="Rectangle 113">
          <a:extLst>
            <a:ext uri="{FF2B5EF4-FFF2-40B4-BE49-F238E27FC236}">
              <a16:creationId xmlns:a16="http://schemas.microsoft.com/office/drawing/2014/main" id="{00000000-0008-0000-1600-000072000000}"/>
            </a:ext>
          </a:extLst>
        </xdr:cNvPr>
        <xdr:cNvSpPr/>
      </xdr:nvSpPr>
      <xdr:spPr>
        <a:xfrm>
          <a:off x="285840" y="789280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409680</xdr:colOff>
      <xdr:row>43</xdr:row>
      <xdr:rowOff>110880</xdr:rowOff>
    </xdr:from>
    <xdr:ext cx="1737359" cy="113760"/>
    <xdr:sp macro="" textlink="">
      <xdr:nvSpPr>
        <xdr:cNvPr id="115" name="Rectangle 114">
          <a:extLst>
            <a:ext uri="{FF2B5EF4-FFF2-40B4-BE49-F238E27FC236}">
              <a16:creationId xmlns:a16="http://schemas.microsoft.com/office/drawing/2014/main" id="{00000000-0008-0000-1600-000073000000}"/>
            </a:ext>
          </a:extLst>
        </xdr:cNvPr>
        <xdr:cNvSpPr/>
      </xdr:nvSpPr>
      <xdr:spPr>
        <a:xfrm>
          <a:off x="409680" y="7892805"/>
          <a:ext cx="173735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Determine if additional data is required</a:t>
          </a:r>
        </a:p>
      </xdr:txBody>
    </xdr:sp>
    <xdr:clientData/>
  </xdr:oneCellAnchor>
  <xdr:oneCellAnchor>
    <xdr:from>
      <xdr:col>0</xdr:col>
      <xdr:colOff>536400</xdr:colOff>
      <xdr:row>44</xdr:row>
      <xdr:rowOff>67320</xdr:rowOff>
    </xdr:from>
    <xdr:ext cx="2583360" cy="113760"/>
    <xdr:sp macro="" textlink="">
      <xdr:nvSpPr>
        <xdr:cNvPr id="116" name="Rectangle 115">
          <a:extLst>
            <a:ext uri="{FF2B5EF4-FFF2-40B4-BE49-F238E27FC236}">
              <a16:creationId xmlns:a16="http://schemas.microsoft.com/office/drawing/2014/main" id="{00000000-0008-0000-1600-000074000000}"/>
            </a:ext>
          </a:extLst>
        </xdr:cNvPr>
        <xdr:cNvSpPr/>
      </xdr:nvSpPr>
      <xdr:spPr>
        <a:xfrm>
          <a:off x="536400" y="8030220"/>
          <a:ext cx="25833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Use surveys, check sheets, sampling, SPC/run charts,</a:t>
          </a:r>
        </a:p>
      </xdr:txBody>
    </xdr:sp>
    <xdr:clientData/>
  </xdr:oneCellAnchor>
  <xdr:oneCellAnchor>
    <xdr:from>
      <xdr:col>1</xdr:col>
      <xdr:colOff>43200</xdr:colOff>
      <xdr:row>45</xdr:row>
      <xdr:rowOff>29160</xdr:rowOff>
    </xdr:from>
    <xdr:ext cx="2350440" cy="113760"/>
    <xdr:sp macro="" textlink="">
      <xdr:nvSpPr>
        <xdr:cNvPr id="117" name="Rectangle 116">
          <a:extLst>
            <a:ext uri="{FF2B5EF4-FFF2-40B4-BE49-F238E27FC236}">
              <a16:creationId xmlns:a16="http://schemas.microsoft.com/office/drawing/2014/main" id="{00000000-0008-0000-1600-000075000000}"/>
            </a:ext>
          </a:extLst>
        </xdr:cNvPr>
        <xdr:cNvSpPr/>
      </xdr:nvSpPr>
      <xdr:spPr>
        <a:xfrm>
          <a:off x="652800" y="8173035"/>
          <a:ext cx="23504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Gage R&amp;R, Failure Mode &amp; Effects Analysis (FMEA)</a:t>
          </a:r>
        </a:p>
      </xdr:txBody>
    </xdr:sp>
    <xdr:clientData/>
  </xdr:oneCellAnchor>
  <xdr:oneCellAnchor>
    <xdr:from>
      <xdr:col>0</xdr:col>
      <xdr:colOff>285840</xdr:colOff>
      <xdr:row>45</xdr:row>
      <xdr:rowOff>153360</xdr:rowOff>
    </xdr:from>
    <xdr:ext cx="56520" cy="124560"/>
    <xdr:sp macro="" textlink="">
      <xdr:nvSpPr>
        <xdr:cNvPr id="118" name="Rectangle 117">
          <a:extLst>
            <a:ext uri="{FF2B5EF4-FFF2-40B4-BE49-F238E27FC236}">
              <a16:creationId xmlns:a16="http://schemas.microsoft.com/office/drawing/2014/main" id="{00000000-0008-0000-1600-000076000000}"/>
            </a:ext>
          </a:extLst>
        </xdr:cNvPr>
        <xdr:cNvSpPr/>
      </xdr:nvSpPr>
      <xdr:spPr>
        <a:xfrm>
          <a:off x="285840" y="829723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412920</xdr:colOff>
      <xdr:row>45</xdr:row>
      <xdr:rowOff>153360</xdr:rowOff>
    </xdr:from>
    <xdr:ext cx="2278800" cy="113760"/>
    <xdr:sp macro="" textlink="">
      <xdr:nvSpPr>
        <xdr:cNvPr id="119" name="Rectangle 118">
          <a:extLst>
            <a:ext uri="{FF2B5EF4-FFF2-40B4-BE49-F238E27FC236}">
              <a16:creationId xmlns:a16="http://schemas.microsoft.com/office/drawing/2014/main" id="{00000000-0008-0000-1600-000077000000}"/>
            </a:ext>
          </a:extLst>
        </xdr:cNvPr>
        <xdr:cNvSpPr/>
      </xdr:nvSpPr>
      <xdr:spPr>
        <a:xfrm>
          <a:off x="412920" y="8297235"/>
          <a:ext cx="2278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Restate the problem description (above), if needed</a:t>
          </a:r>
        </a:p>
      </xdr:txBody>
    </xdr:sp>
    <xdr:clientData/>
  </xdr:oneCellAnchor>
  <xdr:oneCellAnchor>
    <xdr:from>
      <xdr:col>0</xdr:col>
      <xdr:colOff>285840</xdr:colOff>
      <xdr:row>46</xdr:row>
      <xdr:rowOff>110880</xdr:rowOff>
    </xdr:from>
    <xdr:ext cx="56520" cy="124560"/>
    <xdr:sp macro="" textlink="">
      <xdr:nvSpPr>
        <xdr:cNvPr id="120" name="Rectangle 119">
          <a:extLst>
            <a:ext uri="{FF2B5EF4-FFF2-40B4-BE49-F238E27FC236}">
              <a16:creationId xmlns:a16="http://schemas.microsoft.com/office/drawing/2014/main" id="{00000000-0008-0000-1600-000078000000}"/>
            </a:ext>
          </a:extLst>
        </xdr:cNvPr>
        <xdr:cNvSpPr/>
      </xdr:nvSpPr>
      <xdr:spPr>
        <a:xfrm>
          <a:off x="285840" y="841668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407520</xdr:colOff>
      <xdr:row>46</xdr:row>
      <xdr:rowOff>110880</xdr:rowOff>
    </xdr:from>
    <xdr:ext cx="1382400" cy="113760"/>
    <xdr:sp macro="" textlink="">
      <xdr:nvSpPr>
        <xdr:cNvPr id="121" name="Rectangle 120">
          <a:extLst>
            <a:ext uri="{FF2B5EF4-FFF2-40B4-BE49-F238E27FC236}">
              <a16:creationId xmlns:a16="http://schemas.microsoft.com/office/drawing/2014/main" id="{00000000-0008-0000-1600-000079000000}"/>
            </a:ext>
          </a:extLst>
        </xdr:cNvPr>
        <xdr:cNvSpPr/>
      </xdr:nvSpPr>
      <xdr:spPr>
        <a:xfrm>
          <a:off x="407520" y="8416680"/>
          <a:ext cx="1382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Identify possible escape points</a:t>
          </a:r>
        </a:p>
      </xdr:txBody>
    </xdr:sp>
    <xdr:clientData/>
  </xdr:oneCellAnchor>
  <xdr:oneCellAnchor>
    <xdr:from>
      <xdr:col>0</xdr:col>
      <xdr:colOff>522359</xdr:colOff>
      <xdr:row>47</xdr:row>
      <xdr:rowOff>73080</xdr:rowOff>
    </xdr:from>
    <xdr:ext cx="85320" cy="113760"/>
    <xdr:sp macro="" textlink="">
      <xdr:nvSpPr>
        <xdr:cNvPr id="122" name="Rectangle 121">
          <a:extLst>
            <a:ext uri="{FF2B5EF4-FFF2-40B4-BE49-F238E27FC236}">
              <a16:creationId xmlns:a16="http://schemas.microsoft.com/office/drawing/2014/main" id="{00000000-0008-0000-1600-00007A000000}"/>
            </a:ext>
          </a:extLst>
        </xdr:cNvPr>
        <xdr:cNvSpPr/>
      </xdr:nvSpPr>
      <xdr:spPr>
        <a:xfrm>
          <a:off x="522359" y="854080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1</xdr:col>
      <xdr:colOff>40320</xdr:colOff>
      <xdr:row>47</xdr:row>
      <xdr:rowOff>73080</xdr:rowOff>
    </xdr:from>
    <xdr:ext cx="2408400" cy="113760"/>
    <xdr:sp macro="" textlink="">
      <xdr:nvSpPr>
        <xdr:cNvPr id="123" name="Rectangle 122">
          <a:extLst>
            <a:ext uri="{FF2B5EF4-FFF2-40B4-BE49-F238E27FC236}">
              <a16:creationId xmlns:a16="http://schemas.microsoft.com/office/drawing/2014/main" id="{00000000-0008-0000-1600-00007B000000}"/>
            </a:ext>
          </a:extLst>
        </xdr:cNvPr>
        <xdr:cNvSpPr/>
      </xdr:nvSpPr>
      <xdr:spPr>
        <a:xfrm>
          <a:off x="649920" y="8540805"/>
          <a:ext cx="2408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Determine how the problem escaped earlier detection</a:t>
          </a:r>
        </a:p>
      </xdr:txBody>
    </xdr:sp>
    <xdr:clientData/>
  </xdr:oneCellAnchor>
  <xdr:oneCellAnchor>
    <xdr:from>
      <xdr:col>0</xdr:col>
      <xdr:colOff>285840</xdr:colOff>
      <xdr:row>48</xdr:row>
      <xdr:rowOff>51840</xdr:rowOff>
    </xdr:from>
    <xdr:ext cx="56520" cy="124560"/>
    <xdr:sp macro="" textlink="">
      <xdr:nvSpPr>
        <xdr:cNvPr id="124" name="Rectangle 123">
          <a:extLst>
            <a:ext uri="{FF2B5EF4-FFF2-40B4-BE49-F238E27FC236}">
              <a16:creationId xmlns:a16="http://schemas.microsoft.com/office/drawing/2014/main" id="{00000000-0008-0000-1600-00007C000000}"/>
            </a:ext>
          </a:extLst>
        </xdr:cNvPr>
        <xdr:cNvSpPr/>
      </xdr:nvSpPr>
      <xdr:spPr>
        <a:xfrm>
          <a:off x="285840" y="868149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407520</xdr:colOff>
      <xdr:row>48</xdr:row>
      <xdr:rowOff>51840</xdr:rowOff>
    </xdr:from>
    <xdr:ext cx="1382400" cy="113760"/>
    <xdr:sp macro="" textlink="">
      <xdr:nvSpPr>
        <xdr:cNvPr id="125" name="Rectangle 124">
          <a:extLst>
            <a:ext uri="{FF2B5EF4-FFF2-40B4-BE49-F238E27FC236}">
              <a16:creationId xmlns:a16="http://schemas.microsoft.com/office/drawing/2014/main" id="{00000000-0008-0000-1600-00007D000000}"/>
            </a:ext>
          </a:extLst>
        </xdr:cNvPr>
        <xdr:cNvSpPr/>
      </xdr:nvSpPr>
      <xdr:spPr>
        <a:xfrm>
          <a:off x="407520" y="8681490"/>
          <a:ext cx="1382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Evaluate each potential cause:</a:t>
          </a:r>
        </a:p>
      </xdr:txBody>
    </xdr:sp>
    <xdr:clientData/>
  </xdr:oneCellAnchor>
  <xdr:oneCellAnchor>
    <xdr:from>
      <xdr:col>0</xdr:col>
      <xdr:colOff>533520</xdr:colOff>
      <xdr:row>48</xdr:row>
      <xdr:rowOff>160920</xdr:rowOff>
    </xdr:from>
    <xdr:ext cx="2030760" cy="113760"/>
    <xdr:sp macro="" textlink="">
      <xdr:nvSpPr>
        <xdr:cNvPr id="126" name="Rectangle 125">
          <a:extLst>
            <a:ext uri="{FF2B5EF4-FFF2-40B4-BE49-F238E27FC236}">
              <a16:creationId xmlns:a16="http://schemas.microsoft.com/office/drawing/2014/main" id="{00000000-0008-0000-1600-00007E000000}"/>
            </a:ext>
          </a:extLst>
        </xdr:cNvPr>
        <xdr:cNvSpPr/>
      </xdr:nvSpPr>
      <xdr:spPr>
        <a:xfrm>
          <a:off x="533520" y="8790570"/>
          <a:ext cx="20307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Use facts to help clarify/outline the choices</a:t>
          </a:r>
        </a:p>
      </xdr:txBody>
    </xdr:sp>
    <xdr:clientData/>
  </xdr:oneCellAnchor>
  <xdr:oneCellAnchor>
    <xdr:from>
      <xdr:col>0</xdr:col>
      <xdr:colOff>525600</xdr:colOff>
      <xdr:row>49</xdr:row>
      <xdr:rowOff>128160</xdr:rowOff>
    </xdr:from>
    <xdr:ext cx="643320" cy="113760"/>
    <xdr:sp macro="" textlink="">
      <xdr:nvSpPr>
        <xdr:cNvPr id="127" name="Rectangle 126">
          <a:extLst>
            <a:ext uri="{FF2B5EF4-FFF2-40B4-BE49-F238E27FC236}">
              <a16:creationId xmlns:a16="http://schemas.microsoft.com/office/drawing/2014/main" id="{00000000-0008-0000-1600-00007F000000}"/>
            </a:ext>
          </a:extLst>
        </xdr:cNvPr>
        <xdr:cNvSpPr/>
      </xdr:nvSpPr>
      <xdr:spPr>
        <a:xfrm>
          <a:off x="525600" y="8919735"/>
          <a:ext cx="643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Perform a 5</a:t>
          </a:r>
        </a:p>
      </xdr:txBody>
    </xdr:sp>
    <xdr:clientData/>
  </xdr:oneCellAnchor>
  <xdr:oneCellAnchor>
    <xdr:from>
      <xdr:col>1</xdr:col>
      <xdr:colOff>560160</xdr:colOff>
      <xdr:row>49</xdr:row>
      <xdr:rowOff>128160</xdr:rowOff>
    </xdr:from>
    <xdr:ext cx="34560" cy="113760"/>
    <xdr:sp macro="" textlink="">
      <xdr:nvSpPr>
        <xdr:cNvPr id="128" name="Rectangle 127">
          <a:extLst>
            <a:ext uri="{FF2B5EF4-FFF2-40B4-BE49-F238E27FC236}">
              <a16:creationId xmlns:a16="http://schemas.microsoft.com/office/drawing/2014/main" id="{00000000-0008-0000-1600-000080000000}"/>
            </a:ext>
          </a:extLst>
        </xdr:cNvPr>
        <xdr:cNvSpPr/>
      </xdr:nvSpPr>
      <xdr:spPr>
        <a:xfrm>
          <a:off x="1169760" y="891973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1</xdr:col>
      <xdr:colOff>608040</xdr:colOff>
      <xdr:row>49</xdr:row>
      <xdr:rowOff>128160</xdr:rowOff>
    </xdr:from>
    <xdr:ext cx="1292400" cy="113760"/>
    <xdr:sp macro="" textlink="">
      <xdr:nvSpPr>
        <xdr:cNvPr id="129" name="Rectangle 128">
          <a:extLst>
            <a:ext uri="{FF2B5EF4-FFF2-40B4-BE49-F238E27FC236}">
              <a16:creationId xmlns:a16="http://schemas.microsoft.com/office/drawing/2014/main" id="{00000000-0008-0000-1600-000081000000}"/>
            </a:ext>
          </a:extLst>
        </xdr:cNvPr>
        <xdr:cNvSpPr/>
      </xdr:nvSpPr>
      <xdr:spPr>
        <a:xfrm>
          <a:off x="1217640" y="8919735"/>
          <a:ext cx="1292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Why Analysis on each cause</a:t>
          </a:r>
        </a:p>
      </xdr:txBody>
    </xdr:sp>
    <xdr:clientData/>
  </xdr:oneCellAnchor>
  <xdr:oneCellAnchor>
    <xdr:from>
      <xdr:col>0</xdr:col>
      <xdr:colOff>285840</xdr:colOff>
      <xdr:row>50</xdr:row>
      <xdr:rowOff>90000</xdr:rowOff>
    </xdr:from>
    <xdr:ext cx="56520" cy="124560"/>
    <xdr:sp macro="" textlink="">
      <xdr:nvSpPr>
        <xdr:cNvPr id="130" name="Rectangle 129">
          <a:extLst>
            <a:ext uri="{FF2B5EF4-FFF2-40B4-BE49-F238E27FC236}">
              <a16:creationId xmlns:a16="http://schemas.microsoft.com/office/drawing/2014/main" id="{00000000-0008-0000-1600-000082000000}"/>
            </a:ext>
          </a:extLst>
        </xdr:cNvPr>
        <xdr:cNvSpPr/>
      </xdr:nvSpPr>
      <xdr:spPr>
        <a:xfrm>
          <a:off x="285840" y="904350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406800</xdr:colOff>
      <xdr:row>50</xdr:row>
      <xdr:rowOff>90000</xdr:rowOff>
    </xdr:from>
    <xdr:ext cx="1280880" cy="113760"/>
    <xdr:sp macro="" textlink="">
      <xdr:nvSpPr>
        <xdr:cNvPr id="131" name="Rectangle 130">
          <a:extLst>
            <a:ext uri="{FF2B5EF4-FFF2-40B4-BE49-F238E27FC236}">
              <a16:creationId xmlns:a16="http://schemas.microsoft.com/office/drawing/2014/main" id="{00000000-0008-0000-1600-000083000000}"/>
            </a:ext>
          </a:extLst>
        </xdr:cNvPr>
        <xdr:cNvSpPr/>
      </xdr:nvSpPr>
      <xdr:spPr>
        <a:xfrm>
          <a:off x="406800" y="9043500"/>
          <a:ext cx="12808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Select the most likely cause:</a:t>
          </a:r>
        </a:p>
      </xdr:txBody>
    </xdr:sp>
    <xdr:clientData/>
  </xdr:oneCellAnchor>
  <xdr:oneCellAnchor>
    <xdr:from>
      <xdr:col>0</xdr:col>
      <xdr:colOff>522359</xdr:colOff>
      <xdr:row>51</xdr:row>
      <xdr:rowOff>51840</xdr:rowOff>
    </xdr:from>
    <xdr:ext cx="85320" cy="113760"/>
    <xdr:sp macro="" textlink="">
      <xdr:nvSpPr>
        <xdr:cNvPr id="132" name="Rectangle 131">
          <a:extLst>
            <a:ext uri="{FF2B5EF4-FFF2-40B4-BE49-F238E27FC236}">
              <a16:creationId xmlns:a16="http://schemas.microsoft.com/office/drawing/2014/main" id="{00000000-0008-0000-1600-000084000000}"/>
            </a:ext>
          </a:extLst>
        </xdr:cNvPr>
        <xdr:cNvSpPr/>
      </xdr:nvSpPr>
      <xdr:spPr>
        <a:xfrm>
          <a:off x="522359" y="916726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1</xdr:col>
      <xdr:colOff>36720</xdr:colOff>
      <xdr:row>51</xdr:row>
      <xdr:rowOff>51840</xdr:rowOff>
    </xdr:from>
    <xdr:ext cx="1884600" cy="113760"/>
    <xdr:sp macro="" textlink="">
      <xdr:nvSpPr>
        <xdr:cNvPr id="133" name="Rectangle 132">
          <a:extLst>
            <a:ext uri="{FF2B5EF4-FFF2-40B4-BE49-F238E27FC236}">
              <a16:creationId xmlns:a16="http://schemas.microsoft.com/office/drawing/2014/main" id="{00000000-0008-0000-1600-000085000000}"/>
            </a:ext>
          </a:extLst>
        </xdr:cNvPr>
        <xdr:cNvSpPr/>
      </xdr:nvSpPr>
      <xdr:spPr>
        <a:xfrm>
          <a:off x="646320" y="9167265"/>
          <a:ext cx="1884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Build consensus through discussion, multi</a:t>
          </a:r>
        </a:p>
      </xdr:txBody>
    </xdr:sp>
    <xdr:clientData/>
  </xdr:oneCellAnchor>
  <xdr:oneCellAnchor>
    <xdr:from>
      <xdr:col>4</xdr:col>
      <xdr:colOff>102960</xdr:colOff>
      <xdr:row>51</xdr:row>
      <xdr:rowOff>51840</xdr:rowOff>
    </xdr:from>
    <xdr:ext cx="34560" cy="113760"/>
    <xdr:sp macro="" textlink="">
      <xdr:nvSpPr>
        <xdr:cNvPr id="134" name="Rectangle 133">
          <a:extLst>
            <a:ext uri="{FF2B5EF4-FFF2-40B4-BE49-F238E27FC236}">
              <a16:creationId xmlns:a16="http://schemas.microsoft.com/office/drawing/2014/main" id="{00000000-0008-0000-1600-000086000000}"/>
            </a:ext>
          </a:extLst>
        </xdr:cNvPr>
        <xdr:cNvSpPr/>
      </xdr:nvSpPr>
      <xdr:spPr>
        <a:xfrm>
          <a:off x="2541360" y="9167265"/>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4</xdr:col>
      <xdr:colOff>143280</xdr:colOff>
      <xdr:row>51</xdr:row>
      <xdr:rowOff>51840</xdr:rowOff>
    </xdr:from>
    <xdr:ext cx="417960" cy="113760"/>
    <xdr:sp macro="" textlink="">
      <xdr:nvSpPr>
        <xdr:cNvPr id="135" name="Rectangle 134">
          <a:extLst>
            <a:ext uri="{FF2B5EF4-FFF2-40B4-BE49-F238E27FC236}">
              <a16:creationId xmlns:a16="http://schemas.microsoft.com/office/drawing/2014/main" id="{00000000-0008-0000-1600-000087000000}"/>
            </a:ext>
          </a:extLst>
        </xdr:cNvPr>
        <xdr:cNvSpPr/>
      </xdr:nvSpPr>
      <xdr:spPr>
        <a:xfrm>
          <a:off x="2581680" y="9167265"/>
          <a:ext cx="4179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voting or</a:t>
          </a:r>
        </a:p>
      </xdr:txBody>
    </xdr:sp>
    <xdr:clientData/>
  </xdr:oneCellAnchor>
  <xdr:oneCellAnchor>
    <xdr:from>
      <xdr:col>1</xdr:col>
      <xdr:colOff>32040</xdr:colOff>
      <xdr:row>52</xdr:row>
      <xdr:rowOff>14040</xdr:rowOff>
    </xdr:from>
    <xdr:ext cx="793800" cy="113760"/>
    <xdr:sp macro="" textlink="">
      <xdr:nvSpPr>
        <xdr:cNvPr id="136" name="Rectangle 135">
          <a:extLst>
            <a:ext uri="{FF2B5EF4-FFF2-40B4-BE49-F238E27FC236}">
              <a16:creationId xmlns:a16="http://schemas.microsoft.com/office/drawing/2014/main" id="{00000000-0008-0000-1600-000088000000}"/>
            </a:ext>
          </a:extLst>
        </xdr:cNvPr>
        <xdr:cNvSpPr/>
      </xdr:nvSpPr>
      <xdr:spPr>
        <a:xfrm>
          <a:off x="641640" y="9291390"/>
          <a:ext cx="793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affinity diagrams  </a:t>
          </a:r>
        </a:p>
      </xdr:txBody>
    </xdr:sp>
    <xdr:clientData/>
  </xdr:oneCellAnchor>
  <xdr:oneCellAnchor>
    <xdr:from>
      <xdr:col>0</xdr:col>
      <xdr:colOff>285840</xdr:colOff>
      <xdr:row>52</xdr:row>
      <xdr:rowOff>141480</xdr:rowOff>
    </xdr:from>
    <xdr:ext cx="56520" cy="124560"/>
    <xdr:sp macro="" textlink="">
      <xdr:nvSpPr>
        <xdr:cNvPr id="137" name="Rectangle 136">
          <a:extLst>
            <a:ext uri="{FF2B5EF4-FFF2-40B4-BE49-F238E27FC236}">
              <a16:creationId xmlns:a16="http://schemas.microsoft.com/office/drawing/2014/main" id="{00000000-0008-0000-1600-000089000000}"/>
            </a:ext>
          </a:extLst>
        </xdr:cNvPr>
        <xdr:cNvSpPr/>
      </xdr:nvSpPr>
      <xdr:spPr>
        <a:xfrm>
          <a:off x="285840" y="9418830"/>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0</xdr:col>
      <xdr:colOff>412200</xdr:colOff>
      <xdr:row>52</xdr:row>
      <xdr:rowOff>141480</xdr:rowOff>
    </xdr:from>
    <xdr:ext cx="1173600" cy="113760"/>
    <xdr:sp macro="" textlink="">
      <xdr:nvSpPr>
        <xdr:cNvPr id="138" name="Rectangle 137">
          <a:extLst>
            <a:ext uri="{FF2B5EF4-FFF2-40B4-BE49-F238E27FC236}">
              <a16:creationId xmlns:a16="http://schemas.microsoft.com/office/drawing/2014/main" id="{00000000-0008-0000-1600-00008A000000}"/>
            </a:ext>
          </a:extLst>
        </xdr:cNvPr>
        <xdr:cNvSpPr/>
      </xdr:nvSpPr>
      <xdr:spPr>
        <a:xfrm>
          <a:off x="412200" y="9418830"/>
          <a:ext cx="1173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Test each potential cause:</a:t>
          </a:r>
        </a:p>
      </xdr:txBody>
    </xdr:sp>
    <xdr:clientData/>
  </xdr:oneCellAnchor>
  <xdr:oneCellAnchor>
    <xdr:from>
      <xdr:col>0</xdr:col>
      <xdr:colOff>534960</xdr:colOff>
      <xdr:row>53</xdr:row>
      <xdr:rowOff>97560</xdr:rowOff>
    </xdr:from>
    <xdr:ext cx="2267280" cy="113760"/>
    <xdr:sp macro="" textlink="">
      <xdr:nvSpPr>
        <xdr:cNvPr id="139" name="Rectangle 138">
          <a:extLst>
            <a:ext uri="{FF2B5EF4-FFF2-40B4-BE49-F238E27FC236}">
              <a16:creationId xmlns:a16="http://schemas.microsoft.com/office/drawing/2014/main" id="{00000000-0008-0000-1600-00008B000000}"/>
            </a:ext>
          </a:extLst>
        </xdr:cNvPr>
        <xdr:cNvSpPr/>
      </xdr:nvSpPr>
      <xdr:spPr>
        <a:xfrm>
          <a:off x="534960" y="9536835"/>
          <a:ext cx="22672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Conduct designed experiments, trials, pilot tests</a:t>
          </a:r>
        </a:p>
      </xdr:txBody>
    </xdr:sp>
    <xdr:clientData/>
  </xdr:oneCellAnchor>
  <xdr:oneCellAnchor>
    <xdr:from>
      <xdr:col>6</xdr:col>
      <xdr:colOff>150840</xdr:colOff>
      <xdr:row>38</xdr:row>
      <xdr:rowOff>10080</xdr:rowOff>
    </xdr:from>
    <xdr:ext cx="3087000" cy="850680"/>
    <xdr:sp macro="" textlink="">
      <xdr:nvSpPr>
        <xdr:cNvPr id="140" name="Rectangle 139">
          <a:extLst>
            <a:ext uri="{FF2B5EF4-FFF2-40B4-BE49-F238E27FC236}">
              <a16:creationId xmlns:a16="http://schemas.microsoft.com/office/drawing/2014/main" id="{00000000-0008-0000-1600-00008C000000}"/>
            </a:ext>
          </a:extLst>
        </xdr:cNvPr>
        <xdr:cNvSpPr/>
      </xdr:nvSpPr>
      <xdr:spPr>
        <a:xfrm>
          <a:off x="3808440" y="6887130"/>
          <a:ext cx="3087000" cy="85068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217440</xdr:colOff>
      <xdr:row>38</xdr:row>
      <xdr:rowOff>59760</xdr:rowOff>
    </xdr:from>
    <xdr:ext cx="128160" cy="128160"/>
    <xdr:sp macro="" textlink="">
      <xdr:nvSpPr>
        <xdr:cNvPr id="141" name="Rectangle 140">
          <a:extLst>
            <a:ext uri="{FF2B5EF4-FFF2-40B4-BE49-F238E27FC236}">
              <a16:creationId xmlns:a16="http://schemas.microsoft.com/office/drawing/2014/main" id="{00000000-0008-0000-1600-00008D000000}"/>
            </a:ext>
          </a:extLst>
        </xdr:cNvPr>
        <xdr:cNvSpPr/>
      </xdr:nvSpPr>
      <xdr:spPr>
        <a:xfrm>
          <a:off x="3875040" y="6936810"/>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7.</a:t>
          </a:r>
        </a:p>
      </xdr:txBody>
    </xdr:sp>
    <xdr:clientData/>
  </xdr:oneCellAnchor>
  <xdr:oneCellAnchor>
    <xdr:from>
      <xdr:col>6</xdr:col>
      <xdr:colOff>352080</xdr:colOff>
      <xdr:row>38</xdr:row>
      <xdr:rowOff>59760</xdr:rowOff>
    </xdr:from>
    <xdr:ext cx="1526760" cy="128160"/>
    <xdr:sp macro="" textlink="">
      <xdr:nvSpPr>
        <xdr:cNvPr id="142" name="Rectangle 141">
          <a:extLst>
            <a:ext uri="{FF2B5EF4-FFF2-40B4-BE49-F238E27FC236}">
              <a16:creationId xmlns:a16="http://schemas.microsoft.com/office/drawing/2014/main" id="{00000000-0008-0000-1600-00008E000000}"/>
            </a:ext>
          </a:extLst>
        </xdr:cNvPr>
        <xdr:cNvSpPr/>
      </xdr:nvSpPr>
      <xdr:spPr>
        <a:xfrm>
          <a:off x="4009680" y="6936810"/>
          <a:ext cx="15267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Verify Effectiveness of Actions</a:t>
          </a:r>
        </a:p>
      </xdr:txBody>
    </xdr:sp>
    <xdr:clientData/>
  </xdr:oneCellAnchor>
  <xdr:oneCellAnchor>
    <xdr:from>
      <xdr:col>6</xdr:col>
      <xdr:colOff>350640</xdr:colOff>
      <xdr:row>39</xdr:row>
      <xdr:rowOff>19440</xdr:rowOff>
    </xdr:from>
    <xdr:ext cx="1677240" cy="9360"/>
    <xdr:sp macro="" textlink="">
      <xdr:nvSpPr>
        <xdr:cNvPr id="143" name="Line 142">
          <a:extLst>
            <a:ext uri="{FF2B5EF4-FFF2-40B4-BE49-F238E27FC236}">
              <a16:creationId xmlns:a16="http://schemas.microsoft.com/office/drawing/2014/main" id="{00000000-0008-0000-1600-00008F000000}"/>
            </a:ext>
          </a:extLst>
        </xdr:cNvPr>
        <xdr:cNvSpPr/>
      </xdr:nvSpPr>
      <xdr:spPr>
        <a:xfrm>
          <a:off x="4008240" y="7077465"/>
          <a:ext cx="1677240"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331560</xdr:colOff>
      <xdr:row>39</xdr:row>
      <xdr:rowOff>59760</xdr:rowOff>
    </xdr:from>
    <xdr:ext cx="56520" cy="124560"/>
    <xdr:sp macro="" textlink="">
      <xdr:nvSpPr>
        <xdr:cNvPr id="144" name="Rectangle 143">
          <a:extLst>
            <a:ext uri="{FF2B5EF4-FFF2-40B4-BE49-F238E27FC236}">
              <a16:creationId xmlns:a16="http://schemas.microsoft.com/office/drawing/2014/main" id="{00000000-0008-0000-1600-000090000000}"/>
            </a:ext>
          </a:extLst>
        </xdr:cNvPr>
        <xdr:cNvSpPr/>
      </xdr:nvSpPr>
      <xdr:spPr>
        <a:xfrm>
          <a:off x="3989160" y="711778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457200</xdr:colOff>
      <xdr:row>39</xdr:row>
      <xdr:rowOff>59760</xdr:rowOff>
    </xdr:from>
    <xdr:ext cx="2030400" cy="113760"/>
    <xdr:sp macro="" textlink="">
      <xdr:nvSpPr>
        <xdr:cNvPr id="145" name="Rectangle 144">
          <a:extLst>
            <a:ext uri="{FF2B5EF4-FFF2-40B4-BE49-F238E27FC236}">
              <a16:creationId xmlns:a16="http://schemas.microsoft.com/office/drawing/2014/main" id="{00000000-0008-0000-1600-000091000000}"/>
            </a:ext>
          </a:extLst>
        </xdr:cNvPr>
        <xdr:cNvSpPr/>
      </xdr:nvSpPr>
      <xdr:spPr>
        <a:xfrm>
          <a:off x="4114800" y="7117785"/>
          <a:ext cx="20304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Choose methods to verify and/or monitor the</a:t>
          </a:r>
        </a:p>
      </xdr:txBody>
    </xdr:sp>
    <xdr:clientData/>
  </xdr:oneCellAnchor>
  <xdr:oneCellAnchor>
    <xdr:from>
      <xdr:col>6</xdr:col>
      <xdr:colOff>458999</xdr:colOff>
      <xdr:row>40</xdr:row>
      <xdr:rowOff>21600</xdr:rowOff>
    </xdr:from>
    <xdr:ext cx="2203560" cy="113760"/>
    <xdr:sp macro="" textlink="">
      <xdr:nvSpPr>
        <xdr:cNvPr id="146" name="Rectangle 145">
          <a:extLst>
            <a:ext uri="{FF2B5EF4-FFF2-40B4-BE49-F238E27FC236}">
              <a16:creationId xmlns:a16="http://schemas.microsoft.com/office/drawing/2014/main" id="{00000000-0008-0000-1600-000092000000}"/>
            </a:ext>
          </a:extLst>
        </xdr:cNvPr>
        <xdr:cNvSpPr/>
      </xdr:nvSpPr>
      <xdr:spPr>
        <a:xfrm>
          <a:off x="4116599" y="7260600"/>
          <a:ext cx="2203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effectiveness of problem reduction or elimination:</a:t>
          </a:r>
        </a:p>
      </xdr:txBody>
    </xdr:sp>
    <xdr:clientData/>
  </xdr:oneCellAnchor>
  <xdr:oneCellAnchor>
    <xdr:from>
      <xdr:col>6</xdr:col>
      <xdr:colOff>560520</xdr:colOff>
      <xdr:row>40</xdr:row>
      <xdr:rowOff>141480</xdr:rowOff>
    </xdr:from>
    <xdr:ext cx="85320" cy="113760"/>
    <xdr:sp macro="" textlink="">
      <xdr:nvSpPr>
        <xdr:cNvPr id="147" name="Rectangle 146">
          <a:extLst>
            <a:ext uri="{FF2B5EF4-FFF2-40B4-BE49-F238E27FC236}">
              <a16:creationId xmlns:a16="http://schemas.microsoft.com/office/drawing/2014/main" id="{00000000-0008-0000-1600-000093000000}"/>
            </a:ext>
          </a:extLst>
        </xdr:cNvPr>
        <xdr:cNvSpPr/>
      </xdr:nvSpPr>
      <xdr:spPr>
        <a:xfrm>
          <a:off x="4218120" y="738048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66960</xdr:colOff>
      <xdr:row>40</xdr:row>
      <xdr:rowOff>141480</xdr:rowOff>
    </xdr:from>
    <xdr:ext cx="440640" cy="113760"/>
    <xdr:sp macro="" textlink="">
      <xdr:nvSpPr>
        <xdr:cNvPr id="148" name="Rectangle 147">
          <a:extLst>
            <a:ext uri="{FF2B5EF4-FFF2-40B4-BE49-F238E27FC236}">
              <a16:creationId xmlns:a16="http://schemas.microsoft.com/office/drawing/2014/main" id="{00000000-0008-0000-1600-000094000000}"/>
            </a:ext>
          </a:extLst>
        </xdr:cNvPr>
        <xdr:cNvSpPr/>
      </xdr:nvSpPr>
      <xdr:spPr>
        <a:xfrm>
          <a:off x="4334160" y="7380480"/>
          <a:ext cx="4406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Use Poka</a:t>
          </a:r>
        </a:p>
      </xdr:txBody>
    </xdr:sp>
    <xdr:clientData/>
  </xdr:oneCellAnchor>
  <xdr:oneCellAnchor>
    <xdr:from>
      <xdr:col>7</xdr:col>
      <xdr:colOff>506879</xdr:colOff>
      <xdr:row>40</xdr:row>
      <xdr:rowOff>141480</xdr:rowOff>
    </xdr:from>
    <xdr:ext cx="34560" cy="113760"/>
    <xdr:sp macro="" textlink="">
      <xdr:nvSpPr>
        <xdr:cNvPr id="149" name="Rectangle 148">
          <a:extLst>
            <a:ext uri="{FF2B5EF4-FFF2-40B4-BE49-F238E27FC236}">
              <a16:creationId xmlns:a16="http://schemas.microsoft.com/office/drawing/2014/main" id="{00000000-0008-0000-1600-000095000000}"/>
            </a:ext>
          </a:extLst>
        </xdr:cNvPr>
        <xdr:cNvSpPr/>
      </xdr:nvSpPr>
      <xdr:spPr>
        <a:xfrm>
          <a:off x="4774079" y="7380480"/>
          <a:ext cx="3456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t>
          </a:r>
        </a:p>
      </xdr:txBody>
    </xdr:sp>
    <xdr:clientData/>
  </xdr:oneCellAnchor>
  <xdr:oneCellAnchor>
    <xdr:from>
      <xdr:col>7</xdr:col>
      <xdr:colOff>560880</xdr:colOff>
      <xdr:row>40</xdr:row>
      <xdr:rowOff>141480</xdr:rowOff>
    </xdr:from>
    <xdr:ext cx="2044080" cy="113760"/>
    <xdr:sp macro="" textlink="">
      <xdr:nvSpPr>
        <xdr:cNvPr id="150" name="Rectangle 149">
          <a:extLst>
            <a:ext uri="{FF2B5EF4-FFF2-40B4-BE49-F238E27FC236}">
              <a16:creationId xmlns:a16="http://schemas.microsoft.com/office/drawing/2014/main" id="{00000000-0008-0000-1600-000096000000}"/>
            </a:ext>
          </a:extLst>
        </xdr:cNvPr>
        <xdr:cNvSpPr/>
      </xdr:nvSpPr>
      <xdr:spPr>
        <a:xfrm>
          <a:off x="4828080" y="7380480"/>
          <a:ext cx="20440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Yoke devices, integrated inspection systems,</a:t>
          </a:r>
        </a:p>
      </xdr:txBody>
    </xdr:sp>
    <xdr:clientData/>
  </xdr:oneCellAnchor>
  <xdr:oneCellAnchor>
    <xdr:from>
      <xdr:col>7</xdr:col>
      <xdr:colOff>77760</xdr:colOff>
      <xdr:row>41</xdr:row>
      <xdr:rowOff>103320</xdr:rowOff>
    </xdr:from>
    <xdr:ext cx="2369520" cy="113760"/>
    <xdr:sp macro="" textlink="">
      <xdr:nvSpPr>
        <xdr:cNvPr id="151" name="Rectangle 150">
          <a:extLst>
            <a:ext uri="{FF2B5EF4-FFF2-40B4-BE49-F238E27FC236}">
              <a16:creationId xmlns:a16="http://schemas.microsoft.com/office/drawing/2014/main" id="{00000000-0008-0000-1600-000097000000}"/>
            </a:ext>
          </a:extLst>
        </xdr:cNvPr>
        <xdr:cNvSpPr/>
      </xdr:nvSpPr>
      <xdr:spPr>
        <a:xfrm>
          <a:off x="4344960" y="7523295"/>
          <a:ext cx="23695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Jidoka, check sheets, sampling, auditing and/or SPC</a:t>
          </a:r>
        </a:p>
      </xdr:txBody>
    </xdr:sp>
    <xdr:clientData/>
  </xdr:oneCellAnchor>
  <xdr:oneCellAnchor>
    <xdr:from>
      <xdr:col>6</xdr:col>
      <xdr:colOff>150840</xdr:colOff>
      <xdr:row>26</xdr:row>
      <xdr:rowOff>29160</xdr:rowOff>
    </xdr:from>
    <xdr:ext cx="3087000" cy="1701719"/>
    <xdr:sp macro="" textlink="">
      <xdr:nvSpPr>
        <xdr:cNvPr id="152" name="Rectangle 151">
          <a:extLst>
            <a:ext uri="{FF2B5EF4-FFF2-40B4-BE49-F238E27FC236}">
              <a16:creationId xmlns:a16="http://schemas.microsoft.com/office/drawing/2014/main" id="{00000000-0008-0000-1600-000098000000}"/>
            </a:ext>
          </a:extLst>
        </xdr:cNvPr>
        <xdr:cNvSpPr/>
      </xdr:nvSpPr>
      <xdr:spPr>
        <a:xfrm>
          <a:off x="3808440" y="4734510"/>
          <a:ext cx="3087000" cy="1701719"/>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217440</xdr:colOff>
      <xdr:row>26</xdr:row>
      <xdr:rowOff>73080</xdr:rowOff>
    </xdr:from>
    <xdr:ext cx="128160" cy="128160"/>
    <xdr:sp macro="" textlink="">
      <xdr:nvSpPr>
        <xdr:cNvPr id="153" name="Rectangle 152">
          <a:extLst>
            <a:ext uri="{FF2B5EF4-FFF2-40B4-BE49-F238E27FC236}">
              <a16:creationId xmlns:a16="http://schemas.microsoft.com/office/drawing/2014/main" id="{00000000-0008-0000-1600-000099000000}"/>
            </a:ext>
          </a:extLst>
        </xdr:cNvPr>
        <xdr:cNvSpPr/>
      </xdr:nvSpPr>
      <xdr:spPr>
        <a:xfrm>
          <a:off x="3875040" y="4778430"/>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6.</a:t>
          </a:r>
        </a:p>
      </xdr:txBody>
    </xdr:sp>
    <xdr:clientData/>
  </xdr:oneCellAnchor>
  <xdr:oneCellAnchor>
    <xdr:from>
      <xdr:col>6</xdr:col>
      <xdr:colOff>342720</xdr:colOff>
      <xdr:row>26</xdr:row>
      <xdr:rowOff>73080</xdr:rowOff>
    </xdr:from>
    <xdr:ext cx="1019159" cy="128160"/>
    <xdr:sp macro="" textlink="">
      <xdr:nvSpPr>
        <xdr:cNvPr id="154" name="Rectangle 153">
          <a:extLst>
            <a:ext uri="{FF2B5EF4-FFF2-40B4-BE49-F238E27FC236}">
              <a16:creationId xmlns:a16="http://schemas.microsoft.com/office/drawing/2014/main" id="{00000000-0008-0000-1600-00009A000000}"/>
            </a:ext>
          </a:extLst>
        </xdr:cNvPr>
        <xdr:cNvSpPr/>
      </xdr:nvSpPr>
      <xdr:spPr>
        <a:xfrm>
          <a:off x="4000320" y="4778430"/>
          <a:ext cx="1019159"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Prevent Recurrence</a:t>
          </a:r>
        </a:p>
      </xdr:txBody>
    </xdr:sp>
    <xdr:clientData/>
  </xdr:oneCellAnchor>
  <xdr:oneCellAnchor>
    <xdr:from>
      <xdr:col>6</xdr:col>
      <xdr:colOff>350640</xdr:colOff>
      <xdr:row>27</xdr:row>
      <xdr:rowOff>38520</xdr:rowOff>
    </xdr:from>
    <xdr:ext cx="1076760" cy="9360"/>
    <xdr:sp macro="" textlink="">
      <xdr:nvSpPr>
        <xdr:cNvPr id="155" name="Line 154">
          <a:extLst>
            <a:ext uri="{FF2B5EF4-FFF2-40B4-BE49-F238E27FC236}">
              <a16:creationId xmlns:a16="http://schemas.microsoft.com/office/drawing/2014/main" id="{00000000-0008-0000-1600-00009B000000}"/>
            </a:ext>
          </a:extLst>
        </xdr:cNvPr>
        <xdr:cNvSpPr/>
      </xdr:nvSpPr>
      <xdr:spPr>
        <a:xfrm>
          <a:off x="4008240" y="4924845"/>
          <a:ext cx="1076760" cy="9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331560</xdr:colOff>
      <xdr:row>27</xdr:row>
      <xdr:rowOff>67320</xdr:rowOff>
    </xdr:from>
    <xdr:ext cx="56520" cy="124560"/>
    <xdr:sp macro="" textlink="">
      <xdr:nvSpPr>
        <xdr:cNvPr id="156" name="Rectangle 155">
          <a:extLst>
            <a:ext uri="{FF2B5EF4-FFF2-40B4-BE49-F238E27FC236}">
              <a16:creationId xmlns:a16="http://schemas.microsoft.com/office/drawing/2014/main" id="{00000000-0008-0000-1600-00009C000000}"/>
            </a:ext>
          </a:extLst>
        </xdr:cNvPr>
        <xdr:cNvSpPr/>
      </xdr:nvSpPr>
      <xdr:spPr>
        <a:xfrm>
          <a:off x="3989160" y="495364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464400</xdr:colOff>
      <xdr:row>27</xdr:row>
      <xdr:rowOff>67320</xdr:rowOff>
    </xdr:from>
    <xdr:ext cx="2323440" cy="113760"/>
    <xdr:sp macro="" textlink="">
      <xdr:nvSpPr>
        <xdr:cNvPr id="157" name="Rectangle 156">
          <a:extLst>
            <a:ext uri="{FF2B5EF4-FFF2-40B4-BE49-F238E27FC236}">
              <a16:creationId xmlns:a16="http://schemas.microsoft.com/office/drawing/2014/main" id="{00000000-0008-0000-1600-00009D000000}"/>
            </a:ext>
          </a:extLst>
        </xdr:cNvPr>
        <xdr:cNvSpPr/>
      </xdr:nvSpPr>
      <xdr:spPr>
        <a:xfrm>
          <a:off x="4122000" y="4953645"/>
          <a:ext cx="23234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To prevent recurrence of the same (or similar) kind,</a:t>
          </a:r>
        </a:p>
      </xdr:txBody>
    </xdr:sp>
    <xdr:clientData/>
  </xdr:oneCellAnchor>
  <xdr:oneCellAnchor>
    <xdr:from>
      <xdr:col>6</xdr:col>
      <xdr:colOff>457559</xdr:colOff>
      <xdr:row>28</xdr:row>
      <xdr:rowOff>29160</xdr:rowOff>
    </xdr:from>
    <xdr:ext cx="2087280" cy="113760"/>
    <xdr:sp macro="" textlink="">
      <xdr:nvSpPr>
        <xdr:cNvPr id="158" name="Rectangle 157">
          <a:extLst>
            <a:ext uri="{FF2B5EF4-FFF2-40B4-BE49-F238E27FC236}">
              <a16:creationId xmlns:a16="http://schemas.microsoft.com/office/drawing/2014/main" id="{00000000-0008-0000-1600-00009E000000}"/>
            </a:ext>
          </a:extLst>
        </xdr:cNvPr>
        <xdr:cNvSpPr/>
      </xdr:nvSpPr>
      <xdr:spPr>
        <a:xfrm>
          <a:off x="4115159" y="5096460"/>
          <a:ext cx="20872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identify the necessary changes to standardize:</a:t>
          </a:r>
        </a:p>
      </xdr:txBody>
    </xdr:sp>
    <xdr:clientData/>
  </xdr:oneCellAnchor>
  <xdr:oneCellAnchor>
    <xdr:from>
      <xdr:col>6</xdr:col>
      <xdr:colOff>560520</xdr:colOff>
      <xdr:row>28</xdr:row>
      <xdr:rowOff>153720</xdr:rowOff>
    </xdr:from>
    <xdr:ext cx="85320" cy="113760"/>
    <xdr:sp macro="" textlink="">
      <xdr:nvSpPr>
        <xdr:cNvPr id="159" name="Rectangle 158">
          <a:extLst>
            <a:ext uri="{FF2B5EF4-FFF2-40B4-BE49-F238E27FC236}">
              <a16:creationId xmlns:a16="http://schemas.microsoft.com/office/drawing/2014/main" id="{00000000-0008-0000-1600-00009F000000}"/>
            </a:ext>
          </a:extLst>
        </xdr:cNvPr>
        <xdr:cNvSpPr/>
      </xdr:nvSpPr>
      <xdr:spPr>
        <a:xfrm>
          <a:off x="4218120" y="522102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73440</xdr:colOff>
      <xdr:row>28</xdr:row>
      <xdr:rowOff>153720</xdr:rowOff>
    </xdr:from>
    <xdr:ext cx="1579680" cy="113760"/>
    <xdr:sp macro="" textlink="">
      <xdr:nvSpPr>
        <xdr:cNvPr id="160" name="Rectangle 159">
          <a:extLst>
            <a:ext uri="{FF2B5EF4-FFF2-40B4-BE49-F238E27FC236}">
              <a16:creationId xmlns:a16="http://schemas.microsoft.com/office/drawing/2014/main" id="{00000000-0008-0000-1600-0000A0000000}"/>
            </a:ext>
          </a:extLst>
        </xdr:cNvPr>
        <xdr:cNvSpPr/>
      </xdr:nvSpPr>
      <xdr:spPr>
        <a:xfrm>
          <a:off x="4340640" y="5221020"/>
          <a:ext cx="15796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Policies, procedures, specifications</a:t>
          </a:r>
        </a:p>
      </xdr:txBody>
    </xdr:sp>
    <xdr:clientData/>
  </xdr:oneCellAnchor>
  <xdr:oneCellAnchor>
    <xdr:from>
      <xdr:col>6</xdr:col>
      <xdr:colOff>560520</xdr:colOff>
      <xdr:row>29</xdr:row>
      <xdr:rowOff>128160</xdr:rowOff>
    </xdr:from>
    <xdr:ext cx="85320" cy="113760"/>
    <xdr:sp macro="" textlink="">
      <xdr:nvSpPr>
        <xdr:cNvPr id="161" name="Rectangle 160">
          <a:extLst>
            <a:ext uri="{FF2B5EF4-FFF2-40B4-BE49-F238E27FC236}">
              <a16:creationId xmlns:a16="http://schemas.microsoft.com/office/drawing/2014/main" id="{00000000-0008-0000-1600-0000A1000000}"/>
            </a:ext>
          </a:extLst>
        </xdr:cNvPr>
        <xdr:cNvSpPr/>
      </xdr:nvSpPr>
      <xdr:spPr>
        <a:xfrm>
          <a:off x="4218120" y="537643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81720</xdr:colOff>
      <xdr:row>29</xdr:row>
      <xdr:rowOff>128160</xdr:rowOff>
    </xdr:from>
    <xdr:ext cx="2059200" cy="113760"/>
    <xdr:sp macro="" textlink="">
      <xdr:nvSpPr>
        <xdr:cNvPr id="162" name="Rectangle 161">
          <a:extLst>
            <a:ext uri="{FF2B5EF4-FFF2-40B4-BE49-F238E27FC236}">
              <a16:creationId xmlns:a16="http://schemas.microsoft.com/office/drawing/2014/main" id="{00000000-0008-0000-1600-0000A2000000}"/>
            </a:ext>
          </a:extLst>
        </xdr:cNvPr>
        <xdr:cNvSpPr/>
      </xdr:nvSpPr>
      <xdr:spPr>
        <a:xfrm>
          <a:off x="4348920" y="5376435"/>
          <a:ext cx="20592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Work instructions, Standard Work, Visual Aids</a:t>
          </a:r>
        </a:p>
      </xdr:txBody>
    </xdr:sp>
    <xdr:clientData/>
  </xdr:oneCellAnchor>
  <xdr:oneCellAnchor>
    <xdr:from>
      <xdr:col>6</xdr:col>
      <xdr:colOff>565560</xdr:colOff>
      <xdr:row>30</xdr:row>
      <xdr:rowOff>90000</xdr:rowOff>
    </xdr:from>
    <xdr:ext cx="474120" cy="113760"/>
    <xdr:sp macro="" textlink="">
      <xdr:nvSpPr>
        <xdr:cNvPr id="163" name="Rectangle 162">
          <a:extLst>
            <a:ext uri="{FF2B5EF4-FFF2-40B4-BE49-F238E27FC236}">
              <a16:creationId xmlns:a16="http://schemas.microsoft.com/office/drawing/2014/main" id="{00000000-0008-0000-1600-0000A3000000}"/>
            </a:ext>
          </a:extLst>
        </xdr:cNvPr>
        <xdr:cNvSpPr/>
      </xdr:nvSpPr>
      <xdr:spPr>
        <a:xfrm>
          <a:off x="4223160" y="5519250"/>
          <a:ext cx="4741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Training</a:t>
          </a:r>
        </a:p>
      </xdr:txBody>
    </xdr:sp>
    <xdr:clientData/>
  </xdr:oneCellAnchor>
  <xdr:oneCellAnchor>
    <xdr:from>
      <xdr:col>6</xdr:col>
      <xdr:colOff>560520</xdr:colOff>
      <xdr:row>31</xdr:row>
      <xdr:rowOff>51840</xdr:rowOff>
    </xdr:from>
    <xdr:ext cx="85320" cy="113760"/>
    <xdr:sp macro="" textlink="">
      <xdr:nvSpPr>
        <xdr:cNvPr id="164" name="Rectangle 163">
          <a:extLst>
            <a:ext uri="{FF2B5EF4-FFF2-40B4-BE49-F238E27FC236}">
              <a16:creationId xmlns:a16="http://schemas.microsoft.com/office/drawing/2014/main" id="{00000000-0008-0000-1600-0000A4000000}"/>
            </a:ext>
          </a:extLst>
        </xdr:cNvPr>
        <xdr:cNvSpPr/>
      </xdr:nvSpPr>
      <xdr:spPr>
        <a:xfrm>
          <a:off x="4218120" y="566206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82440</xdr:colOff>
      <xdr:row>31</xdr:row>
      <xdr:rowOff>51840</xdr:rowOff>
    </xdr:from>
    <xdr:ext cx="2502720" cy="113760"/>
    <xdr:sp macro="" textlink="">
      <xdr:nvSpPr>
        <xdr:cNvPr id="165" name="Rectangle 164">
          <a:extLst>
            <a:ext uri="{FF2B5EF4-FFF2-40B4-BE49-F238E27FC236}">
              <a16:creationId xmlns:a16="http://schemas.microsoft.com/office/drawing/2014/main" id="{00000000-0008-0000-1600-0000A5000000}"/>
            </a:ext>
          </a:extLst>
        </xdr:cNvPr>
        <xdr:cNvSpPr/>
      </xdr:nvSpPr>
      <xdr:spPr>
        <a:xfrm>
          <a:off x="4349640" y="5662065"/>
          <a:ext cx="25027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Engineering Drawings, Failure Mode &amp; Effects Analysis</a:t>
          </a:r>
        </a:p>
      </xdr:txBody>
    </xdr:sp>
    <xdr:clientData/>
  </xdr:oneCellAnchor>
  <xdr:oneCellAnchor>
    <xdr:from>
      <xdr:col>6</xdr:col>
      <xdr:colOff>560520</xdr:colOff>
      <xdr:row>31</xdr:row>
      <xdr:rowOff>161280</xdr:rowOff>
    </xdr:from>
    <xdr:ext cx="85320" cy="113760"/>
    <xdr:sp macro="" textlink="">
      <xdr:nvSpPr>
        <xdr:cNvPr id="166" name="Rectangle 165">
          <a:extLst>
            <a:ext uri="{FF2B5EF4-FFF2-40B4-BE49-F238E27FC236}">
              <a16:creationId xmlns:a16="http://schemas.microsoft.com/office/drawing/2014/main" id="{00000000-0008-0000-1600-0000A6000000}"/>
            </a:ext>
          </a:extLst>
        </xdr:cNvPr>
        <xdr:cNvSpPr/>
      </xdr:nvSpPr>
      <xdr:spPr>
        <a:xfrm>
          <a:off x="4218120" y="577150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72720</xdr:colOff>
      <xdr:row>31</xdr:row>
      <xdr:rowOff>161280</xdr:rowOff>
    </xdr:from>
    <xdr:ext cx="1267920" cy="113760"/>
    <xdr:sp macro="" textlink="">
      <xdr:nvSpPr>
        <xdr:cNvPr id="167" name="Rectangle 166">
          <a:extLst>
            <a:ext uri="{FF2B5EF4-FFF2-40B4-BE49-F238E27FC236}">
              <a16:creationId xmlns:a16="http://schemas.microsoft.com/office/drawing/2014/main" id="{00000000-0008-0000-1600-0000A7000000}"/>
            </a:ext>
          </a:extLst>
        </xdr:cNvPr>
        <xdr:cNvSpPr/>
      </xdr:nvSpPr>
      <xdr:spPr>
        <a:xfrm>
          <a:off x="4339920" y="5771505"/>
          <a:ext cx="12679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Visual management devices</a:t>
          </a:r>
        </a:p>
      </xdr:txBody>
    </xdr:sp>
    <xdr:clientData/>
  </xdr:oneCellAnchor>
  <xdr:oneCellAnchor>
    <xdr:from>
      <xdr:col>6</xdr:col>
      <xdr:colOff>560520</xdr:colOff>
      <xdr:row>32</xdr:row>
      <xdr:rowOff>128160</xdr:rowOff>
    </xdr:from>
    <xdr:ext cx="85320" cy="113760"/>
    <xdr:sp macro="" textlink="">
      <xdr:nvSpPr>
        <xdr:cNvPr id="168" name="Rectangle 167">
          <a:extLst>
            <a:ext uri="{FF2B5EF4-FFF2-40B4-BE49-F238E27FC236}">
              <a16:creationId xmlns:a16="http://schemas.microsoft.com/office/drawing/2014/main" id="{00000000-0008-0000-1600-0000A8000000}"/>
            </a:ext>
          </a:extLst>
        </xdr:cNvPr>
        <xdr:cNvSpPr/>
      </xdr:nvSpPr>
      <xdr:spPr>
        <a:xfrm>
          <a:off x="4218120" y="591936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75600</xdr:colOff>
      <xdr:row>32</xdr:row>
      <xdr:rowOff>128160</xdr:rowOff>
    </xdr:from>
    <xdr:ext cx="2031119" cy="113760"/>
    <xdr:sp macro="" textlink="">
      <xdr:nvSpPr>
        <xdr:cNvPr id="169" name="Rectangle 168">
          <a:extLst>
            <a:ext uri="{FF2B5EF4-FFF2-40B4-BE49-F238E27FC236}">
              <a16:creationId xmlns:a16="http://schemas.microsoft.com/office/drawing/2014/main" id="{00000000-0008-0000-1600-0000A9000000}"/>
            </a:ext>
          </a:extLst>
        </xdr:cNvPr>
        <xdr:cNvSpPr/>
      </xdr:nvSpPr>
      <xdr:spPr>
        <a:xfrm>
          <a:off x="4342800" y="5919360"/>
          <a:ext cx="203111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Process control systems, Control Plans, SPC</a:t>
          </a:r>
        </a:p>
      </xdr:txBody>
    </xdr:sp>
    <xdr:clientData/>
  </xdr:oneCellAnchor>
  <xdr:oneCellAnchor>
    <xdr:from>
      <xdr:col>6</xdr:col>
      <xdr:colOff>331560</xdr:colOff>
      <xdr:row>33</xdr:row>
      <xdr:rowOff>90000</xdr:rowOff>
    </xdr:from>
    <xdr:ext cx="56520" cy="124560"/>
    <xdr:sp macro="" textlink="">
      <xdr:nvSpPr>
        <xdr:cNvPr id="170" name="Rectangle 169">
          <a:extLst>
            <a:ext uri="{FF2B5EF4-FFF2-40B4-BE49-F238E27FC236}">
              <a16:creationId xmlns:a16="http://schemas.microsoft.com/office/drawing/2014/main" id="{00000000-0008-0000-1600-0000AA000000}"/>
            </a:ext>
          </a:extLst>
        </xdr:cNvPr>
        <xdr:cNvSpPr/>
      </xdr:nvSpPr>
      <xdr:spPr>
        <a:xfrm>
          <a:off x="3989160" y="606217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459360</xdr:colOff>
      <xdr:row>33</xdr:row>
      <xdr:rowOff>90000</xdr:rowOff>
    </xdr:from>
    <xdr:ext cx="2391480" cy="113760"/>
    <xdr:sp macro="" textlink="">
      <xdr:nvSpPr>
        <xdr:cNvPr id="171" name="Rectangle 170">
          <a:extLst>
            <a:ext uri="{FF2B5EF4-FFF2-40B4-BE49-F238E27FC236}">
              <a16:creationId xmlns:a16="http://schemas.microsoft.com/office/drawing/2014/main" id="{00000000-0008-0000-1600-0000AB000000}"/>
            </a:ext>
          </a:extLst>
        </xdr:cNvPr>
        <xdr:cNvSpPr/>
      </xdr:nvSpPr>
      <xdr:spPr>
        <a:xfrm>
          <a:off x="4116960" y="6062175"/>
          <a:ext cx="2391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Identify the steps necessary to implement preventive</a:t>
          </a:r>
        </a:p>
      </xdr:txBody>
    </xdr:sp>
    <xdr:clientData/>
  </xdr:oneCellAnchor>
  <xdr:oneCellAnchor>
    <xdr:from>
      <xdr:col>6</xdr:col>
      <xdr:colOff>457920</xdr:colOff>
      <xdr:row>34</xdr:row>
      <xdr:rowOff>59760</xdr:rowOff>
    </xdr:from>
    <xdr:ext cx="2171520" cy="113760"/>
    <xdr:sp macro="" textlink="">
      <xdr:nvSpPr>
        <xdr:cNvPr id="172" name="Rectangle 171">
          <a:extLst>
            <a:ext uri="{FF2B5EF4-FFF2-40B4-BE49-F238E27FC236}">
              <a16:creationId xmlns:a16="http://schemas.microsoft.com/office/drawing/2014/main" id="{00000000-0008-0000-1600-0000AC000000}"/>
            </a:ext>
          </a:extLst>
        </xdr:cNvPr>
        <xdr:cNvSpPr/>
      </xdr:nvSpPr>
      <xdr:spPr>
        <a:xfrm>
          <a:off x="4115520" y="6212910"/>
          <a:ext cx="21715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action at other Parker sites inside or outside the</a:t>
          </a:r>
        </a:p>
      </xdr:txBody>
    </xdr:sp>
    <xdr:clientData/>
  </xdr:oneCellAnchor>
  <xdr:oneCellAnchor>
    <xdr:from>
      <xdr:col>6</xdr:col>
      <xdr:colOff>453959</xdr:colOff>
      <xdr:row>35</xdr:row>
      <xdr:rowOff>21600</xdr:rowOff>
    </xdr:from>
    <xdr:ext cx="1512000" cy="113760"/>
    <xdr:sp macro="" textlink="">
      <xdr:nvSpPr>
        <xdr:cNvPr id="173" name="Rectangle 172">
          <a:extLst>
            <a:ext uri="{FF2B5EF4-FFF2-40B4-BE49-F238E27FC236}">
              <a16:creationId xmlns:a16="http://schemas.microsoft.com/office/drawing/2014/main" id="{00000000-0008-0000-1600-0000AD000000}"/>
            </a:ext>
          </a:extLst>
        </xdr:cNvPr>
        <xdr:cNvSpPr/>
      </xdr:nvSpPr>
      <xdr:spPr>
        <a:xfrm>
          <a:off x="4111559" y="6355725"/>
          <a:ext cx="1512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Division/Group, where applicable.</a:t>
          </a:r>
        </a:p>
      </xdr:txBody>
    </xdr:sp>
    <xdr:clientData/>
  </xdr:oneCellAnchor>
  <xdr:oneCellAnchor>
    <xdr:from>
      <xdr:col>6</xdr:col>
      <xdr:colOff>150840</xdr:colOff>
      <xdr:row>44</xdr:row>
      <xdr:rowOff>124200</xdr:rowOff>
    </xdr:from>
    <xdr:ext cx="3087000" cy="1472400"/>
    <xdr:sp macro="" textlink="">
      <xdr:nvSpPr>
        <xdr:cNvPr id="174" name="Rectangle 173">
          <a:extLst>
            <a:ext uri="{FF2B5EF4-FFF2-40B4-BE49-F238E27FC236}">
              <a16:creationId xmlns:a16="http://schemas.microsoft.com/office/drawing/2014/main" id="{00000000-0008-0000-1600-0000AE000000}"/>
            </a:ext>
          </a:extLst>
        </xdr:cNvPr>
        <xdr:cNvSpPr/>
      </xdr:nvSpPr>
      <xdr:spPr>
        <a:xfrm>
          <a:off x="3808440" y="8087100"/>
          <a:ext cx="3087000" cy="147240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w="9360">
          <a:solidFill>
            <a:srgbClr val="000000"/>
          </a:solidFill>
          <a:prstDash val="solid"/>
          <a:miter/>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217440</xdr:colOff>
      <xdr:row>45</xdr:row>
      <xdr:rowOff>14040</xdr:rowOff>
    </xdr:from>
    <xdr:ext cx="128160" cy="128160"/>
    <xdr:sp macro="" textlink="">
      <xdr:nvSpPr>
        <xdr:cNvPr id="175" name="Rectangle 174">
          <a:extLst>
            <a:ext uri="{FF2B5EF4-FFF2-40B4-BE49-F238E27FC236}">
              <a16:creationId xmlns:a16="http://schemas.microsoft.com/office/drawing/2014/main" id="{00000000-0008-0000-1600-0000AF000000}"/>
            </a:ext>
          </a:extLst>
        </xdr:cNvPr>
        <xdr:cNvSpPr/>
      </xdr:nvSpPr>
      <xdr:spPr>
        <a:xfrm>
          <a:off x="3875040" y="8157915"/>
          <a:ext cx="12816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8.</a:t>
          </a:r>
        </a:p>
      </xdr:txBody>
    </xdr:sp>
    <xdr:clientData/>
  </xdr:oneCellAnchor>
  <xdr:oneCellAnchor>
    <xdr:from>
      <xdr:col>6</xdr:col>
      <xdr:colOff>354960</xdr:colOff>
      <xdr:row>45</xdr:row>
      <xdr:rowOff>14040</xdr:rowOff>
    </xdr:from>
    <xdr:ext cx="2246040" cy="128160"/>
    <xdr:sp macro="" textlink="">
      <xdr:nvSpPr>
        <xdr:cNvPr id="176" name="Rectangle 175">
          <a:extLst>
            <a:ext uri="{FF2B5EF4-FFF2-40B4-BE49-F238E27FC236}">
              <a16:creationId xmlns:a16="http://schemas.microsoft.com/office/drawing/2014/main" id="{00000000-0008-0000-1600-0000B0000000}"/>
            </a:ext>
          </a:extLst>
        </xdr:cNvPr>
        <xdr:cNvSpPr/>
      </xdr:nvSpPr>
      <xdr:spPr>
        <a:xfrm>
          <a:off x="4012560" y="8157915"/>
          <a:ext cx="2246040" cy="1281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900" b="0" i="0" u="none" strike="noStrike" kern="1200" spc="0">
              <a:solidFill>
                <a:srgbClr val="000000"/>
              </a:solidFill>
              <a:latin typeface="Arial" pitchFamily="18"/>
              <a:cs typeface="Arial"/>
            </a:rPr>
            <a:t>Management Review and Team Recognition</a:t>
          </a:r>
        </a:p>
      </xdr:txBody>
    </xdr:sp>
    <xdr:clientData/>
  </xdr:oneCellAnchor>
  <xdr:oneCellAnchor>
    <xdr:from>
      <xdr:col>6</xdr:col>
      <xdr:colOff>350640</xdr:colOff>
      <xdr:row>45</xdr:row>
      <xdr:rowOff>133560</xdr:rowOff>
    </xdr:from>
    <xdr:ext cx="2382120" cy="9720"/>
    <xdr:sp macro="" textlink="">
      <xdr:nvSpPr>
        <xdr:cNvPr id="177" name="Line 176">
          <a:extLst>
            <a:ext uri="{FF2B5EF4-FFF2-40B4-BE49-F238E27FC236}">
              <a16:creationId xmlns:a16="http://schemas.microsoft.com/office/drawing/2014/main" id="{00000000-0008-0000-1600-0000B1000000}"/>
            </a:ext>
          </a:extLst>
        </xdr:cNvPr>
        <xdr:cNvSpPr/>
      </xdr:nvSpPr>
      <xdr:spPr>
        <a:xfrm>
          <a:off x="4008240" y="8277435"/>
          <a:ext cx="2382120" cy="972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331560</xdr:colOff>
      <xdr:row>45</xdr:row>
      <xdr:rowOff>160920</xdr:rowOff>
    </xdr:from>
    <xdr:ext cx="56520" cy="124560"/>
    <xdr:sp macro="" textlink="">
      <xdr:nvSpPr>
        <xdr:cNvPr id="178" name="Rectangle 177">
          <a:extLst>
            <a:ext uri="{FF2B5EF4-FFF2-40B4-BE49-F238E27FC236}">
              <a16:creationId xmlns:a16="http://schemas.microsoft.com/office/drawing/2014/main" id="{00000000-0008-0000-1600-0000B2000000}"/>
            </a:ext>
          </a:extLst>
        </xdr:cNvPr>
        <xdr:cNvSpPr/>
      </xdr:nvSpPr>
      <xdr:spPr>
        <a:xfrm>
          <a:off x="3989160" y="8304795"/>
          <a:ext cx="56520" cy="1245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Symbol" pitchFamily="18"/>
            </a:rPr>
            <a:t>&gt;</a:t>
          </a:r>
        </a:p>
      </xdr:txBody>
    </xdr:sp>
    <xdr:clientData/>
  </xdr:oneCellAnchor>
  <xdr:oneCellAnchor>
    <xdr:from>
      <xdr:col>6</xdr:col>
      <xdr:colOff>452880</xdr:colOff>
      <xdr:row>45</xdr:row>
      <xdr:rowOff>160920</xdr:rowOff>
    </xdr:from>
    <xdr:ext cx="1342800" cy="113760"/>
    <xdr:sp macro="" textlink="">
      <xdr:nvSpPr>
        <xdr:cNvPr id="179" name="Rectangle 178">
          <a:extLst>
            <a:ext uri="{FF2B5EF4-FFF2-40B4-BE49-F238E27FC236}">
              <a16:creationId xmlns:a16="http://schemas.microsoft.com/office/drawing/2014/main" id="{00000000-0008-0000-1600-0000B3000000}"/>
            </a:ext>
          </a:extLst>
        </xdr:cNvPr>
        <xdr:cNvSpPr/>
      </xdr:nvSpPr>
      <xdr:spPr>
        <a:xfrm>
          <a:off x="4110480" y="8304795"/>
          <a:ext cx="13428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Management review includes:</a:t>
          </a:r>
        </a:p>
      </xdr:txBody>
    </xdr:sp>
    <xdr:clientData/>
  </xdr:oneCellAnchor>
  <xdr:oneCellAnchor>
    <xdr:from>
      <xdr:col>6</xdr:col>
      <xdr:colOff>560520</xdr:colOff>
      <xdr:row>46</xdr:row>
      <xdr:rowOff>128160</xdr:rowOff>
    </xdr:from>
    <xdr:ext cx="85320" cy="113760"/>
    <xdr:sp macro="" textlink="">
      <xdr:nvSpPr>
        <xdr:cNvPr id="180" name="Rectangle 179">
          <a:extLst>
            <a:ext uri="{FF2B5EF4-FFF2-40B4-BE49-F238E27FC236}">
              <a16:creationId xmlns:a16="http://schemas.microsoft.com/office/drawing/2014/main" id="{00000000-0008-0000-1600-0000B4000000}"/>
            </a:ext>
          </a:extLst>
        </xdr:cNvPr>
        <xdr:cNvSpPr/>
      </xdr:nvSpPr>
      <xdr:spPr>
        <a:xfrm>
          <a:off x="4218120" y="843396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72720</xdr:colOff>
      <xdr:row>46</xdr:row>
      <xdr:rowOff>128160</xdr:rowOff>
    </xdr:from>
    <xdr:ext cx="1404720" cy="113760"/>
    <xdr:sp macro="" textlink="">
      <xdr:nvSpPr>
        <xdr:cNvPr id="181" name="Rectangle 180">
          <a:extLst>
            <a:ext uri="{FF2B5EF4-FFF2-40B4-BE49-F238E27FC236}">
              <a16:creationId xmlns:a16="http://schemas.microsoft.com/office/drawing/2014/main" id="{00000000-0008-0000-1600-0000B5000000}"/>
            </a:ext>
          </a:extLst>
        </xdr:cNvPr>
        <xdr:cNvSpPr/>
      </xdr:nvSpPr>
      <xdr:spPr>
        <a:xfrm>
          <a:off x="4339920" y="8433960"/>
          <a:ext cx="14047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Periodic monitoring of progress</a:t>
          </a:r>
        </a:p>
      </xdr:txBody>
    </xdr:sp>
    <xdr:clientData/>
  </xdr:oneCellAnchor>
  <xdr:oneCellAnchor>
    <xdr:from>
      <xdr:col>6</xdr:col>
      <xdr:colOff>574200</xdr:colOff>
      <xdr:row>47</xdr:row>
      <xdr:rowOff>90000</xdr:rowOff>
    </xdr:from>
    <xdr:ext cx="2521440" cy="113760"/>
    <xdr:sp macro="" textlink="">
      <xdr:nvSpPr>
        <xdr:cNvPr id="182" name="Rectangle 181">
          <a:extLst>
            <a:ext uri="{FF2B5EF4-FFF2-40B4-BE49-F238E27FC236}">
              <a16:creationId xmlns:a16="http://schemas.microsoft.com/office/drawing/2014/main" id="{00000000-0008-0000-1600-0000B6000000}"/>
            </a:ext>
          </a:extLst>
        </xdr:cNvPr>
        <xdr:cNvSpPr/>
      </xdr:nvSpPr>
      <xdr:spPr>
        <a:xfrm>
          <a:off x="4231800" y="8557725"/>
          <a:ext cx="252144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Providing support and allocating necessary resources</a:t>
          </a:r>
        </a:p>
      </xdr:txBody>
    </xdr:sp>
    <xdr:clientData/>
  </xdr:oneCellAnchor>
  <xdr:oneCellAnchor>
    <xdr:from>
      <xdr:col>6</xdr:col>
      <xdr:colOff>560520</xdr:colOff>
      <xdr:row>48</xdr:row>
      <xdr:rowOff>59760</xdr:rowOff>
    </xdr:from>
    <xdr:ext cx="85320" cy="113760"/>
    <xdr:sp macro="" textlink="">
      <xdr:nvSpPr>
        <xdr:cNvPr id="183" name="Rectangle 182">
          <a:extLst>
            <a:ext uri="{FF2B5EF4-FFF2-40B4-BE49-F238E27FC236}">
              <a16:creationId xmlns:a16="http://schemas.microsoft.com/office/drawing/2014/main" id="{00000000-0008-0000-1600-0000B7000000}"/>
            </a:ext>
          </a:extLst>
        </xdr:cNvPr>
        <xdr:cNvSpPr/>
      </xdr:nvSpPr>
      <xdr:spPr>
        <a:xfrm>
          <a:off x="4218120" y="868941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77400</xdr:colOff>
      <xdr:row>48</xdr:row>
      <xdr:rowOff>59760</xdr:rowOff>
    </xdr:from>
    <xdr:ext cx="2268000" cy="113760"/>
    <xdr:sp macro="" textlink="">
      <xdr:nvSpPr>
        <xdr:cNvPr id="184" name="Rectangle 183">
          <a:extLst>
            <a:ext uri="{FF2B5EF4-FFF2-40B4-BE49-F238E27FC236}">
              <a16:creationId xmlns:a16="http://schemas.microsoft.com/office/drawing/2014/main" id="{00000000-0008-0000-1600-0000B8000000}"/>
            </a:ext>
          </a:extLst>
        </xdr:cNvPr>
        <xdr:cNvSpPr/>
      </xdr:nvSpPr>
      <xdr:spPr>
        <a:xfrm>
          <a:off x="4344600" y="8689410"/>
          <a:ext cx="2268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Ensuring a disciplined approach to 8D is/was used</a:t>
          </a:r>
        </a:p>
      </xdr:txBody>
    </xdr:sp>
    <xdr:clientData/>
  </xdr:oneCellAnchor>
  <xdr:oneCellAnchor>
    <xdr:from>
      <xdr:col>6</xdr:col>
      <xdr:colOff>560520</xdr:colOff>
      <xdr:row>49</xdr:row>
      <xdr:rowOff>21600</xdr:rowOff>
    </xdr:from>
    <xdr:ext cx="85320" cy="113760"/>
    <xdr:sp macro="" textlink="">
      <xdr:nvSpPr>
        <xdr:cNvPr id="185" name="Rectangle 184">
          <a:extLst>
            <a:ext uri="{FF2B5EF4-FFF2-40B4-BE49-F238E27FC236}">
              <a16:creationId xmlns:a16="http://schemas.microsoft.com/office/drawing/2014/main" id="{00000000-0008-0000-1600-0000B9000000}"/>
            </a:ext>
          </a:extLst>
        </xdr:cNvPr>
        <xdr:cNvSpPr/>
      </xdr:nvSpPr>
      <xdr:spPr>
        <a:xfrm>
          <a:off x="4218120" y="8813175"/>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79560</xdr:colOff>
      <xdr:row>49</xdr:row>
      <xdr:rowOff>21600</xdr:rowOff>
    </xdr:from>
    <xdr:ext cx="2406600" cy="113760"/>
    <xdr:sp macro="" textlink="">
      <xdr:nvSpPr>
        <xdr:cNvPr id="186" name="Rectangle 185">
          <a:extLst>
            <a:ext uri="{FF2B5EF4-FFF2-40B4-BE49-F238E27FC236}">
              <a16:creationId xmlns:a16="http://schemas.microsoft.com/office/drawing/2014/main" id="{00000000-0008-0000-1600-0000BA000000}"/>
            </a:ext>
          </a:extLst>
        </xdr:cNvPr>
        <xdr:cNvSpPr/>
      </xdr:nvSpPr>
      <xdr:spPr>
        <a:xfrm>
          <a:off x="4346760" y="8813175"/>
          <a:ext cx="24066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Authorizing the completion of a project by signing off  </a:t>
          </a:r>
        </a:p>
      </xdr:txBody>
    </xdr:sp>
    <xdr:clientData/>
  </xdr:oneCellAnchor>
  <xdr:oneCellAnchor>
    <xdr:from>
      <xdr:col>7</xdr:col>
      <xdr:colOff>78120</xdr:colOff>
      <xdr:row>49</xdr:row>
      <xdr:rowOff>141480</xdr:rowOff>
    </xdr:from>
    <xdr:ext cx="1878480" cy="113760"/>
    <xdr:sp macro="" textlink="">
      <xdr:nvSpPr>
        <xdr:cNvPr id="187" name="Rectangle 186">
          <a:extLst>
            <a:ext uri="{FF2B5EF4-FFF2-40B4-BE49-F238E27FC236}">
              <a16:creationId xmlns:a16="http://schemas.microsoft.com/office/drawing/2014/main" id="{00000000-0008-0000-1600-0000BB000000}"/>
            </a:ext>
          </a:extLst>
        </xdr:cNvPr>
        <xdr:cNvSpPr/>
      </xdr:nvSpPr>
      <xdr:spPr>
        <a:xfrm>
          <a:off x="4345320" y="8933055"/>
          <a:ext cx="18784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on the 8D Corrective Action Report (CAR)</a:t>
          </a:r>
        </a:p>
      </xdr:txBody>
    </xdr:sp>
    <xdr:clientData/>
  </xdr:oneCellAnchor>
  <xdr:oneCellAnchor>
    <xdr:from>
      <xdr:col>6</xdr:col>
      <xdr:colOff>560520</xdr:colOff>
      <xdr:row>50</xdr:row>
      <xdr:rowOff>97560</xdr:rowOff>
    </xdr:from>
    <xdr:ext cx="85320" cy="113760"/>
    <xdr:sp macro="" textlink="">
      <xdr:nvSpPr>
        <xdr:cNvPr id="188" name="Rectangle 187">
          <a:extLst>
            <a:ext uri="{FF2B5EF4-FFF2-40B4-BE49-F238E27FC236}">
              <a16:creationId xmlns:a16="http://schemas.microsoft.com/office/drawing/2014/main" id="{00000000-0008-0000-1600-0000BC000000}"/>
            </a:ext>
          </a:extLst>
        </xdr:cNvPr>
        <xdr:cNvSpPr/>
      </xdr:nvSpPr>
      <xdr:spPr>
        <a:xfrm>
          <a:off x="4218120" y="9051060"/>
          <a:ext cx="85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a:t>
          </a:r>
        </a:p>
      </xdr:txBody>
    </xdr:sp>
    <xdr:clientData/>
  </xdr:oneCellAnchor>
  <xdr:oneCellAnchor>
    <xdr:from>
      <xdr:col>7</xdr:col>
      <xdr:colOff>78480</xdr:colOff>
      <xdr:row>50</xdr:row>
      <xdr:rowOff>97560</xdr:rowOff>
    </xdr:from>
    <xdr:ext cx="2448000" cy="113760"/>
    <xdr:sp macro="" textlink="">
      <xdr:nvSpPr>
        <xdr:cNvPr id="189" name="Rectangle 188">
          <a:extLst>
            <a:ext uri="{FF2B5EF4-FFF2-40B4-BE49-F238E27FC236}">
              <a16:creationId xmlns:a16="http://schemas.microsoft.com/office/drawing/2014/main" id="{00000000-0008-0000-1600-0000BD000000}"/>
            </a:ext>
          </a:extLst>
        </xdr:cNvPr>
        <xdr:cNvSpPr/>
      </xdr:nvSpPr>
      <xdr:spPr>
        <a:xfrm>
          <a:off x="4345680" y="9051060"/>
          <a:ext cx="244800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Recognizing team members for their accomplishments</a:t>
          </a:r>
        </a:p>
      </xdr:txBody>
    </xdr:sp>
    <xdr:clientData/>
  </xdr:oneCellAnchor>
  <xdr:oneCellAnchor>
    <xdr:from>
      <xdr:col>6</xdr:col>
      <xdr:colOff>574920</xdr:colOff>
      <xdr:row>51</xdr:row>
      <xdr:rowOff>59760</xdr:rowOff>
    </xdr:from>
    <xdr:ext cx="2605680" cy="113760"/>
    <xdr:sp macro="" textlink="">
      <xdr:nvSpPr>
        <xdr:cNvPr id="190" name="Rectangle 189">
          <a:extLst>
            <a:ext uri="{FF2B5EF4-FFF2-40B4-BE49-F238E27FC236}">
              <a16:creationId xmlns:a16="http://schemas.microsoft.com/office/drawing/2014/main" id="{00000000-0008-0000-1600-0000BE000000}"/>
            </a:ext>
          </a:extLst>
        </xdr:cNvPr>
        <xdr:cNvSpPr/>
      </xdr:nvSpPr>
      <xdr:spPr>
        <a:xfrm>
          <a:off x="4232520" y="9175185"/>
          <a:ext cx="260568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 ] Sharing lessons learned with others in the organization</a:t>
          </a:r>
        </a:p>
      </xdr:txBody>
    </xdr:sp>
    <xdr:clientData/>
  </xdr:oneCellAnchor>
  <xdr:oneCellAnchor>
    <xdr:from>
      <xdr:col>7</xdr:col>
      <xdr:colOff>68760</xdr:colOff>
      <xdr:row>52</xdr:row>
      <xdr:rowOff>21600</xdr:rowOff>
    </xdr:from>
    <xdr:ext cx="739439" cy="113760"/>
    <xdr:sp macro="" textlink="">
      <xdr:nvSpPr>
        <xdr:cNvPr id="191" name="Rectangle 190">
          <a:extLst>
            <a:ext uri="{FF2B5EF4-FFF2-40B4-BE49-F238E27FC236}">
              <a16:creationId xmlns:a16="http://schemas.microsoft.com/office/drawing/2014/main" id="{00000000-0008-0000-1600-0000BF000000}"/>
            </a:ext>
          </a:extLst>
        </xdr:cNvPr>
        <xdr:cNvSpPr/>
      </xdr:nvSpPr>
      <xdr:spPr>
        <a:xfrm>
          <a:off x="4335960" y="9298950"/>
          <a:ext cx="739439"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who may benefit</a:t>
          </a:r>
        </a:p>
      </xdr:txBody>
    </xdr:sp>
    <xdr:clientData/>
  </xdr:oneCellAnchor>
  <xdr:oneCellAnchor>
    <xdr:from>
      <xdr:col>8</xdr:col>
      <xdr:colOff>426960</xdr:colOff>
      <xdr:row>10</xdr:row>
      <xdr:rowOff>105120</xdr:rowOff>
    </xdr:from>
    <xdr:ext cx="104400" cy="277200"/>
    <xdr:grpSp>
      <xdr:nvGrpSpPr>
        <xdr:cNvPr id="192" name="Group 191">
          <a:extLst>
            <a:ext uri="{FF2B5EF4-FFF2-40B4-BE49-F238E27FC236}">
              <a16:creationId xmlns:a16="http://schemas.microsoft.com/office/drawing/2014/main" id="{00000000-0008-0000-1600-0000C0000000}"/>
            </a:ext>
          </a:extLst>
        </xdr:cNvPr>
        <xdr:cNvGrpSpPr/>
      </xdr:nvGrpSpPr>
      <xdr:grpSpPr>
        <a:xfrm>
          <a:off x="5303760" y="1914870"/>
          <a:ext cx="104400" cy="277200"/>
          <a:chOff x="5303760" y="1914870"/>
          <a:chExt cx="104400" cy="277200"/>
        </a:xfrm>
      </xdr:grpSpPr>
      <xdr:sp macro="" textlink="">
        <xdr:nvSpPr>
          <xdr:cNvPr id="193" name="Line 192">
            <a:extLst>
              <a:ext uri="{FF2B5EF4-FFF2-40B4-BE49-F238E27FC236}">
                <a16:creationId xmlns:a16="http://schemas.microsoft.com/office/drawing/2014/main" id="{00000000-0008-0000-1600-0000C1000000}"/>
              </a:ext>
            </a:extLst>
          </xdr:cNvPr>
          <xdr:cNvSpPr/>
        </xdr:nvSpPr>
        <xdr:spPr>
          <a:xfrm>
            <a:off x="5351280" y="1914870"/>
            <a:ext cx="9720" cy="19152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194" name="Freeform 193">
            <a:extLst>
              <a:ext uri="{FF2B5EF4-FFF2-40B4-BE49-F238E27FC236}">
                <a16:creationId xmlns:a16="http://schemas.microsoft.com/office/drawing/2014/main" id="{00000000-0008-0000-1600-0000C2000000}"/>
              </a:ext>
            </a:extLst>
          </xdr:cNvPr>
          <xdr:cNvSpPr/>
        </xdr:nvSpPr>
        <xdr:spPr>
          <a:xfrm>
            <a:off x="5303760" y="2087310"/>
            <a:ext cx="104400" cy="104760"/>
          </a:xfrm>
          <a:custGeom>
            <a:avLst/>
            <a:gdLst>
              <a:gd name="f0" fmla="val 0"/>
              <a:gd name="f1" fmla="val 11"/>
              <a:gd name="f2" fmla="val 5"/>
            </a:gdLst>
            <a:ahLst/>
            <a:cxnLst>
              <a:cxn ang="3cd4">
                <a:pos x="hc" y="t"/>
              </a:cxn>
              <a:cxn ang="0">
                <a:pos x="r" y="vc"/>
              </a:cxn>
              <a:cxn ang="cd4">
                <a:pos x="hc" y="b"/>
              </a:cxn>
              <a:cxn ang="cd2">
                <a:pos x="l" y="vc"/>
              </a:cxn>
            </a:cxnLst>
            <a:rect l="l" t="t" r="r" b="b"/>
            <a:pathLst>
              <a:path w="11" h="11">
                <a:moveTo>
                  <a:pt x="f0" y="f0"/>
                </a:moveTo>
                <a:lnTo>
                  <a:pt x="f2" y="f1"/>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2</xdr:col>
      <xdr:colOff>379440</xdr:colOff>
      <xdr:row>37</xdr:row>
      <xdr:rowOff>19440</xdr:rowOff>
    </xdr:from>
    <xdr:ext cx="104400" cy="228600"/>
    <xdr:grpSp>
      <xdr:nvGrpSpPr>
        <xdr:cNvPr id="195" name="Group 194">
          <a:extLst>
            <a:ext uri="{FF2B5EF4-FFF2-40B4-BE49-F238E27FC236}">
              <a16:creationId xmlns:a16="http://schemas.microsoft.com/office/drawing/2014/main" id="{00000000-0008-0000-1600-0000C3000000}"/>
            </a:ext>
          </a:extLst>
        </xdr:cNvPr>
        <xdr:cNvGrpSpPr/>
      </xdr:nvGrpSpPr>
      <xdr:grpSpPr>
        <a:xfrm>
          <a:off x="1598640" y="6715515"/>
          <a:ext cx="104400" cy="228600"/>
          <a:chOff x="1598640" y="6715515"/>
          <a:chExt cx="104400" cy="228600"/>
        </a:xfrm>
      </xdr:grpSpPr>
      <xdr:sp macro="" textlink="">
        <xdr:nvSpPr>
          <xdr:cNvPr id="196" name="Line 195">
            <a:extLst>
              <a:ext uri="{FF2B5EF4-FFF2-40B4-BE49-F238E27FC236}">
                <a16:creationId xmlns:a16="http://schemas.microsoft.com/office/drawing/2014/main" id="{00000000-0008-0000-1600-0000C4000000}"/>
              </a:ext>
            </a:extLst>
          </xdr:cNvPr>
          <xdr:cNvSpPr/>
        </xdr:nvSpPr>
        <xdr:spPr>
          <a:xfrm>
            <a:off x="1646160" y="6715515"/>
            <a:ext cx="9360" cy="15264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197" name="Freeform 196">
            <a:extLst>
              <a:ext uri="{FF2B5EF4-FFF2-40B4-BE49-F238E27FC236}">
                <a16:creationId xmlns:a16="http://schemas.microsoft.com/office/drawing/2014/main" id="{00000000-0008-0000-1600-0000C5000000}"/>
              </a:ext>
            </a:extLst>
          </xdr:cNvPr>
          <xdr:cNvSpPr/>
        </xdr:nvSpPr>
        <xdr:spPr>
          <a:xfrm>
            <a:off x="1598640" y="6849075"/>
            <a:ext cx="104400" cy="9504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5</xdr:col>
      <xdr:colOff>141480</xdr:colOff>
      <xdr:row>3</xdr:row>
      <xdr:rowOff>38520</xdr:rowOff>
    </xdr:from>
    <xdr:ext cx="2219400" cy="7057440"/>
    <xdr:grpSp>
      <xdr:nvGrpSpPr>
        <xdr:cNvPr id="198" name="Group 197">
          <a:extLst>
            <a:ext uri="{FF2B5EF4-FFF2-40B4-BE49-F238E27FC236}">
              <a16:creationId xmlns:a16="http://schemas.microsoft.com/office/drawing/2014/main" id="{00000000-0008-0000-1600-0000C6000000}"/>
            </a:ext>
          </a:extLst>
        </xdr:cNvPr>
        <xdr:cNvGrpSpPr/>
      </xdr:nvGrpSpPr>
      <xdr:grpSpPr>
        <a:xfrm>
          <a:off x="3189480" y="581445"/>
          <a:ext cx="2219400" cy="7057440"/>
          <a:chOff x="3189480" y="581445"/>
          <a:chExt cx="2219400" cy="7057440"/>
        </a:xfrm>
      </xdr:grpSpPr>
      <xdr:sp macro="" textlink="">
        <xdr:nvSpPr>
          <xdr:cNvPr id="199" name="Freeform 198">
            <a:extLst>
              <a:ext uri="{FF2B5EF4-FFF2-40B4-BE49-F238E27FC236}">
                <a16:creationId xmlns:a16="http://schemas.microsoft.com/office/drawing/2014/main" id="{00000000-0008-0000-1600-0000C7000000}"/>
              </a:ext>
            </a:extLst>
          </xdr:cNvPr>
          <xdr:cNvSpPr/>
        </xdr:nvSpPr>
        <xdr:spPr>
          <a:xfrm>
            <a:off x="3189480" y="581445"/>
            <a:ext cx="2162520" cy="7057440"/>
          </a:xfrm>
          <a:custGeom>
            <a:avLst/>
            <a:gdLst>
              <a:gd name="f0" fmla="val 0"/>
              <a:gd name="f1" fmla="val 227"/>
              <a:gd name="f2" fmla="val 738"/>
              <a:gd name="f3" fmla="val 22"/>
              <a:gd name="f4" fmla="val 16"/>
            </a:gdLst>
            <a:ahLst/>
            <a:cxnLst>
              <a:cxn ang="3cd4">
                <a:pos x="hc" y="t"/>
              </a:cxn>
              <a:cxn ang="0">
                <a:pos x="r" y="vc"/>
              </a:cxn>
              <a:cxn ang="cd4">
                <a:pos x="hc" y="b"/>
              </a:cxn>
              <a:cxn ang="cd2">
                <a:pos x="l" y="vc"/>
              </a:cxn>
            </a:cxnLst>
            <a:rect l="l" t="t" r="r" b="b"/>
            <a:pathLst>
              <a:path w="227" h="738">
                <a:moveTo>
                  <a:pt x="f0" y="f2"/>
                </a:moveTo>
                <a:lnTo>
                  <a:pt x="f3" y="f2"/>
                </a:lnTo>
                <a:lnTo>
                  <a:pt x="f3" y="f0"/>
                </a:lnTo>
                <a:lnTo>
                  <a:pt x="f1" y="f0"/>
                </a:lnTo>
                <a:lnTo>
                  <a:pt x="f1" y="f4"/>
                </a:lnTo>
              </a:path>
            </a:pathLst>
          </a:custGeom>
          <a:noFill/>
          <a:ln w="9360">
            <a:solidFill>
              <a:srgbClr val="000000"/>
            </a:solidFill>
            <a:prstDash val="solid"/>
            <a:roun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sp macro="" textlink="">
        <xdr:nvSpPr>
          <xdr:cNvPr id="200" name="Freeform 199">
            <a:extLst>
              <a:ext uri="{FF2B5EF4-FFF2-40B4-BE49-F238E27FC236}">
                <a16:creationId xmlns:a16="http://schemas.microsoft.com/office/drawing/2014/main" id="{00000000-0008-0000-1600-0000C8000000}"/>
              </a:ext>
            </a:extLst>
          </xdr:cNvPr>
          <xdr:cNvSpPr/>
        </xdr:nvSpPr>
        <xdr:spPr>
          <a:xfrm>
            <a:off x="5304480" y="715365"/>
            <a:ext cx="104400" cy="104760"/>
          </a:xfrm>
          <a:custGeom>
            <a:avLst/>
            <a:gdLst>
              <a:gd name="f0" fmla="val 0"/>
              <a:gd name="f1" fmla="val 11"/>
              <a:gd name="f2" fmla="val 5"/>
            </a:gdLst>
            <a:ahLst/>
            <a:cxnLst>
              <a:cxn ang="3cd4">
                <a:pos x="hc" y="t"/>
              </a:cxn>
              <a:cxn ang="0">
                <a:pos x="r" y="vc"/>
              </a:cxn>
              <a:cxn ang="cd4">
                <a:pos x="hc" y="b"/>
              </a:cxn>
              <a:cxn ang="cd2">
                <a:pos x="l" y="vc"/>
              </a:cxn>
            </a:cxnLst>
            <a:rect l="l" t="t" r="r" b="b"/>
            <a:pathLst>
              <a:path w="11" h="11">
                <a:moveTo>
                  <a:pt x="f0" y="f0"/>
                </a:moveTo>
                <a:lnTo>
                  <a:pt x="f2" y="f1"/>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2</xdr:col>
      <xdr:colOff>379440</xdr:colOff>
      <xdr:row>7</xdr:row>
      <xdr:rowOff>105480</xdr:rowOff>
    </xdr:from>
    <xdr:ext cx="2286360" cy="7890120"/>
    <xdr:grpSp>
      <xdr:nvGrpSpPr>
        <xdr:cNvPr id="201" name="Group 200">
          <a:extLst>
            <a:ext uri="{FF2B5EF4-FFF2-40B4-BE49-F238E27FC236}">
              <a16:creationId xmlns:a16="http://schemas.microsoft.com/office/drawing/2014/main" id="{00000000-0008-0000-1600-0000C9000000}"/>
            </a:ext>
          </a:extLst>
        </xdr:cNvPr>
        <xdr:cNvGrpSpPr/>
      </xdr:nvGrpSpPr>
      <xdr:grpSpPr>
        <a:xfrm>
          <a:off x="1598640" y="1372305"/>
          <a:ext cx="2286360" cy="7890120"/>
          <a:chOff x="1598640" y="1372305"/>
          <a:chExt cx="2286360" cy="7890120"/>
        </a:xfrm>
      </xdr:grpSpPr>
      <xdr:sp macro="" textlink="">
        <xdr:nvSpPr>
          <xdr:cNvPr id="202" name="Freeform 201">
            <a:extLst>
              <a:ext uri="{FF2B5EF4-FFF2-40B4-BE49-F238E27FC236}">
                <a16:creationId xmlns:a16="http://schemas.microsoft.com/office/drawing/2014/main" id="{00000000-0008-0000-1600-0000CA000000}"/>
              </a:ext>
            </a:extLst>
          </xdr:cNvPr>
          <xdr:cNvSpPr/>
        </xdr:nvSpPr>
        <xdr:spPr>
          <a:xfrm>
            <a:off x="1646160" y="1372305"/>
            <a:ext cx="2238840" cy="7890120"/>
          </a:xfrm>
          <a:custGeom>
            <a:avLst/>
            <a:gdLst>
              <a:gd name="f0" fmla="val 0"/>
              <a:gd name="f1" fmla="val 235"/>
              <a:gd name="f2" fmla="val 825"/>
              <a:gd name="f3" fmla="val 203"/>
              <a:gd name="f4" fmla="val 809"/>
            </a:gdLst>
            <a:ahLst/>
            <a:cxnLst>
              <a:cxn ang="3cd4">
                <a:pos x="hc" y="t"/>
              </a:cxn>
              <a:cxn ang="0">
                <a:pos x="r" y="vc"/>
              </a:cxn>
              <a:cxn ang="cd4">
                <a:pos x="hc" y="b"/>
              </a:cxn>
              <a:cxn ang="cd2">
                <a:pos x="l" y="vc"/>
              </a:cxn>
            </a:cxnLst>
            <a:rect l="l" t="t" r="r" b="b"/>
            <a:pathLst>
              <a:path w="235" h="825">
                <a:moveTo>
                  <a:pt x="f1" y="f0"/>
                </a:moveTo>
                <a:lnTo>
                  <a:pt x="f3" y="f0"/>
                </a:lnTo>
                <a:lnTo>
                  <a:pt x="f3" y="f2"/>
                </a:lnTo>
                <a:lnTo>
                  <a:pt x="f0" y="f2"/>
                </a:lnTo>
                <a:lnTo>
                  <a:pt x="f0" y="f4"/>
                </a:lnTo>
              </a:path>
            </a:pathLst>
          </a:custGeom>
          <a:noFill/>
          <a:ln w="9360">
            <a:solidFill>
              <a:srgbClr val="000000"/>
            </a:solidFill>
            <a:prstDash val="solid"/>
            <a:roun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sp macro="" textlink="">
        <xdr:nvSpPr>
          <xdr:cNvPr id="203" name="Freeform 202">
            <a:extLst>
              <a:ext uri="{FF2B5EF4-FFF2-40B4-BE49-F238E27FC236}">
                <a16:creationId xmlns:a16="http://schemas.microsoft.com/office/drawing/2014/main" id="{00000000-0008-0000-1600-0000CB000000}"/>
              </a:ext>
            </a:extLst>
          </xdr:cNvPr>
          <xdr:cNvSpPr/>
        </xdr:nvSpPr>
        <xdr:spPr>
          <a:xfrm>
            <a:off x="1598640" y="9033105"/>
            <a:ext cx="104400" cy="104760"/>
          </a:xfrm>
          <a:custGeom>
            <a:avLst/>
            <a:gdLst>
              <a:gd name="f0" fmla="val 0"/>
              <a:gd name="f1" fmla="val 11"/>
              <a:gd name="f2" fmla="val 5"/>
            </a:gdLst>
            <a:ahLst/>
            <a:cxnLst>
              <a:cxn ang="3cd4">
                <a:pos x="hc" y="t"/>
              </a:cxn>
              <a:cxn ang="0">
                <a:pos x="r" y="vc"/>
              </a:cxn>
              <a:cxn ang="cd4">
                <a:pos x="hc" y="b"/>
              </a:cxn>
              <a:cxn ang="cd2">
                <a:pos x="l" y="vc"/>
              </a:cxn>
            </a:cxnLst>
            <a:rect l="l" t="t" r="r" b="b"/>
            <a:pathLst>
              <a:path w="11" h="11">
                <a:moveTo>
                  <a:pt x="f1" y="f1"/>
                </a:moveTo>
                <a:lnTo>
                  <a:pt x="f2" y="f0"/>
                </a:lnTo>
                <a:lnTo>
                  <a:pt x="f0" y="f1"/>
                </a:lnTo>
                <a:lnTo>
                  <a:pt x="f1" y="f1"/>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8</xdr:col>
      <xdr:colOff>550800</xdr:colOff>
      <xdr:row>10</xdr:row>
      <xdr:rowOff>57600</xdr:rowOff>
    </xdr:from>
    <xdr:ext cx="380880" cy="219240"/>
    <xdr:sp macro="" textlink="">
      <xdr:nvSpPr>
        <xdr:cNvPr id="204" name="Rectangle 203">
          <a:extLst>
            <a:ext uri="{FF2B5EF4-FFF2-40B4-BE49-F238E27FC236}">
              <a16:creationId xmlns:a16="http://schemas.microsoft.com/office/drawing/2014/main" id="{00000000-0008-0000-1600-0000CC000000}"/>
            </a:ext>
          </a:extLst>
        </xdr:cNvPr>
        <xdr:cNvSpPr/>
      </xdr:nvSpPr>
      <xdr:spPr>
        <a:xfrm>
          <a:off x="5427600" y="1867350"/>
          <a:ext cx="380880" cy="21924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9</xdr:col>
      <xdr:colOff>39600</xdr:colOff>
      <xdr:row>10</xdr:row>
      <xdr:rowOff>90000</xdr:rowOff>
    </xdr:from>
    <xdr:ext cx="166320" cy="113760"/>
    <xdr:sp macro="" textlink="">
      <xdr:nvSpPr>
        <xdr:cNvPr id="205" name="Rectangle 204">
          <a:extLst>
            <a:ext uri="{FF2B5EF4-FFF2-40B4-BE49-F238E27FC236}">
              <a16:creationId xmlns:a16="http://schemas.microsoft.com/office/drawing/2014/main" id="{00000000-0008-0000-1600-0000CD000000}"/>
            </a:ext>
          </a:extLst>
        </xdr:cNvPr>
        <xdr:cNvSpPr/>
      </xdr:nvSpPr>
      <xdr:spPr>
        <a:xfrm>
          <a:off x="5526000" y="1899750"/>
          <a:ext cx="166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Yes</a:t>
          </a:r>
        </a:p>
      </xdr:txBody>
    </xdr:sp>
    <xdr:clientData/>
  </xdr:oneCellAnchor>
  <xdr:oneCellAnchor>
    <xdr:from>
      <xdr:col>6</xdr:col>
      <xdr:colOff>227160</xdr:colOff>
      <xdr:row>8</xdr:row>
      <xdr:rowOff>76680</xdr:rowOff>
    </xdr:from>
    <xdr:ext cx="380520" cy="209520"/>
    <xdr:sp macro="" textlink="">
      <xdr:nvSpPr>
        <xdr:cNvPr id="206" name="Rectangle 205">
          <a:extLst>
            <a:ext uri="{FF2B5EF4-FFF2-40B4-BE49-F238E27FC236}">
              <a16:creationId xmlns:a16="http://schemas.microsoft.com/office/drawing/2014/main" id="{00000000-0008-0000-1600-0000CE000000}"/>
            </a:ext>
          </a:extLst>
        </xdr:cNvPr>
        <xdr:cNvSpPr/>
      </xdr:nvSpPr>
      <xdr:spPr>
        <a:xfrm>
          <a:off x="3884760" y="1524480"/>
          <a:ext cx="380520" cy="20952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6</xdr:col>
      <xdr:colOff>324360</xdr:colOff>
      <xdr:row>8</xdr:row>
      <xdr:rowOff>103320</xdr:rowOff>
    </xdr:from>
    <xdr:ext cx="130320" cy="113760"/>
    <xdr:sp macro="" textlink="">
      <xdr:nvSpPr>
        <xdr:cNvPr id="207" name="Rectangle 206">
          <a:extLst>
            <a:ext uri="{FF2B5EF4-FFF2-40B4-BE49-F238E27FC236}">
              <a16:creationId xmlns:a16="http://schemas.microsoft.com/office/drawing/2014/main" id="{00000000-0008-0000-1600-0000CF000000}"/>
            </a:ext>
          </a:extLst>
        </xdr:cNvPr>
        <xdr:cNvSpPr/>
      </xdr:nvSpPr>
      <xdr:spPr>
        <a:xfrm>
          <a:off x="3981960" y="1551120"/>
          <a:ext cx="130320" cy="11376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none" lIns="0" tIns="0" rIns="0" bIns="0" anchor="t" compatLnSpc="0">
          <a:spAutoFit/>
        </a:bodyPr>
        <a:lstStyle/>
        <a:p>
          <a:pPr lvl="0" algn="l" rtl="0" hangingPunct="0">
            <a:buNone/>
            <a:tabLst/>
          </a:pPr>
          <a:r>
            <a:rPr lang="sl-SI" sz="800" b="0" i="0" u="none" strike="noStrike" kern="1200" spc="0">
              <a:solidFill>
                <a:srgbClr val="000000"/>
              </a:solidFill>
              <a:latin typeface="Arial" pitchFamily="18"/>
              <a:cs typeface="Arial"/>
            </a:rPr>
            <a:t>No</a:t>
          </a:r>
        </a:p>
      </xdr:txBody>
    </xdr:sp>
    <xdr:clientData/>
  </xdr:oneCellAnchor>
  <xdr:oneCellAnchor>
    <xdr:from>
      <xdr:col>6</xdr:col>
      <xdr:colOff>227160</xdr:colOff>
      <xdr:row>55</xdr:row>
      <xdr:rowOff>133920</xdr:rowOff>
    </xdr:from>
    <xdr:ext cx="3098879" cy="210600"/>
    <xdr:sp macro="" textlink="">
      <xdr:nvSpPr>
        <xdr:cNvPr id="208" name="Rectangle 207">
          <a:extLst>
            <a:ext uri="{FF2B5EF4-FFF2-40B4-BE49-F238E27FC236}">
              <a16:creationId xmlns:a16="http://schemas.microsoft.com/office/drawing/2014/main" id="{00000000-0008-0000-1600-0000D0000000}"/>
            </a:ext>
          </a:extLst>
        </xdr:cNvPr>
        <xdr:cNvSpPr/>
      </xdr:nvSpPr>
      <xdr:spPr>
        <a:xfrm>
          <a:off x="3884760" y="9897045"/>
          <a:ext cx="3098879" cy="210600"/>
        </a:xfrm>
        <a:custGeom>
          <a:avLst/>
          <a:gdLst>
            <a:gd name="f0" fmla="val 0"/>
            <a:gd name="f1" fmla="val 21600"/>
          </a:gdLst>
          <a:ahLst/>
          <a:cxnLst>
            <a:cxn ang="3cd4">
              <a:pos x="hc" y="t"/>
            </a:cxn>
            <a:cxn ang="0">
              <a:pos x="r" y="vc"/>
            </a:cxn>
            <a:cxn ang="cd4">
              <a:pos x="hc" y="b"/>
            </a:cxn>
            <a:cxn ang="cd2">
              <a:pos x="l" y="vc"/>
            </a:cxn>
          </a:cxnLst>
          <a:rect l="l" t="t" r="r" b="b"/>
          <a:pathLst>
            <a:path w="21600" h="21600">
              <a:moveTo>
                <a:pt x="f0" y="f0"/>
              </a:moveTo>
              <a:lnTo>
                <a:pt x="f1" y="f0"/>
              </a:lnTo>
              <a:lnTo>
                <a:pt x="f1" y="f1"/>
              </a:lnTo>
              <a:lnTo>
                <a:pt x="f0" y="f1"/>
              </a:lnTo>
              <a:lnTo>
                <a:pt x="f0" y="f0"/>
              </a:lnTo>
              <a:close/>
            </a:path>
          </a:pathLst>
        </a:custGeom>
        <a:no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clientData/>
  </xdr:oneCellAnchor>
  <xdr:oneCellAnchor>
    <xdr:from>
      <xdr:col>2</xdr:col>
      <xdr:colOff>379440</xdr:colOff>
      <xdr:row>19</xdr:row>
      <xdr:rowOff>105120</xdr:rowOff>
    </xdr:from>
    <xdr:ext cx="104400" cy="287280"/>
    <xdr:grpSp>
      <xdr:nvGrpSpPr>
        <xdr:cNvPr id="209" name="Group 220">
          <a:extLst>
            <a:ext uri="{FF2B5EF4-FFF2-40B4-BE49-F238E27FC236}">
              <a16:creationId xmlns:a16="http://schemas.microsoft.com/office/drawing/2014/main" id="{00000000-0008-0000-1600-0000D1000000}"/>
            </a:ext>
          </a:extLst>
        </xdr:cNvPr>
        <xdr:cNvGrpSpPr/>
      </xdr:nvGrpSpPr>
      <xdr:grpSpPr>
        <a:xfrm>
          <a:off x="1598640" y="3543645"/>
          <a:ext cx="104400" cy="287280"/>
          <a:chOff x="1598640" y="3543645"/>
          <a:chExt cx="104400" cy="287280"/>
        </a:xfrm>
      </xdr:grpSpPr>
      <xdr:sp macro="" textlink="">
        <xdr:nvSpPr>
          <xdr:cNvPr id="210" name="Line 221">
            <a:extLst>
              <a:ext uri="{FF2B5EF4-FFF2-40B4-BE49-F238E27FC236}">
                <a16:creationId xmlns:a16="http://schemas.microsoft.com/office/drawing/2014/main" id="{00000000-0008-0000-1600-0000D2000000}"/>
              </a:ext>
            </a:extLst>
          </xdr:cNvPr>
          <xdr:cNvSpPr/>
        </xdr:nvSpPr>
        <xdr:spPr>
          <a:xfrm>
            <a:off x="1646160" y="3543645"/>
            <a:ext cx="9360" cy="21060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211" name="Freeform 222">
            <a:extLst>
              <a:ext uri="{FF2B5EF4-FFF2-40B4-BE49-F238E27FC236}">
                <a16:creationId xmlns:a16="http://schemas.microsoft.com/office/drawing/2014/main" id="{00000000-0008-0000-1600-0000D3000000}"/>
              </a:ext>
            </a:extLst>
          </xdr:cNvPr>
          <xdr:cNvSpPr/>
        </xdr:nvSpPr>
        <xdr:spPr>
          <a:xfrm>
            <a:off x="1598640" y="3735525"/>
            <a:ext cx="104400" cy="9540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2</xdr:col>
      <xdr:colOff>379440</xdr:colOff>
      <xdr:row>27</xdr:row>
      <xdr:rowOff>19440</xdr:rowOff>
    </xdr:from>
    <xdr:ext cx="104400" cy="229320"/>
    <xdr:grpSp>
      <xdr:nvGrpSpPr>
        <xdr:cNvPr id="212" name="Group 223">
          <a:extLst>
            <a:ext uri="{FF2B5EF4-FFF2-40B4-BE49-F238E27FC236}">
              <a16:creationId xmlns:a16="http://schemas.microsoft.com/office/drawing/2014/main" id="{00000000-0008-0000-1600-0000D4000000}"/>
            </a:ext>
          </a:extLst>
        </xdr:cNvPr>
        <xdr:cNvGrpSpPr/>
      </xdr:nvGrpSpPr>
      <xdr:grpSpPr>
        <a:xfrm>
          <a:off x="1598640" y="4905765"/>
          <a:ext cx="104400" cy="229320"/>
          <a:chOff x="1598640" y="4905765"/>
          <a:chExt cx="104400" cy="229320"/>
        </a:xfrm>
      </xdr:grpSpPr>
      <xdr:sp macro="" textlink="">
        <xdr:nvSpPr>
          <xdr:cNvPr id="213" name="Line 224">
            <a:extLst>
              <a:ext uri="{FF2B5EF4-FFF2-40B4-BE49-F238E27FC236}">
                <a16:creationId xmlns:a16="http://schemas.microsoft.com/office/drawing/2014/main" id="{00000000-0008-0000-1600-0000D5000000}"/>
              </a:ext>
            </a:extLst>
          </xdr:cNvPr>
          <xdr:cNvSpPr/>
        </xdr:nvSpPr>
        <xdr:spPr>
          <a:xfrm>
            <a:off x="1646160" y="4905765"/>
            <a:ext cx="9360" cy="15300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214" name="Freeform 225">
            <a:extLst>
              <a:ext uri="{FF2B5EF4-FFF2-40B4-BE49-F238E27FC236}">
                <a16:creationId xmlns:a16="http://schemas.microsoft.com/office/drawing/2014/main" id="{00000000-0008-0000-1600-0000D6000000}"/>
              </a:ext>
            </a:extLst>
          </xdr:cNvPr>
          <xdr:cNvSpPr/>
        </xdr:nvSpPr>
        <xdr:spPr>
          <a:xfrm>
            <a:off x="1598640" y="5039685"/>
            <a:ext cx="104400" cy="9540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8</xdr:col>
      <xdr:colOff>426960</xdr:colOff>
      <xdr:row>24</xdr:row>
      <xdr:rowOff>114480</xdr:rowOff>
    </xdr:from>
    <xdr:ext cx="104400" cy="239400"/>
    <xdr:grpSp>
      <xdr:nvGrpSpPr>
        <xdr:cNvPr id="215" name="Group 226">
          <a:extLst>
            <a:ext uri="{FF2B5EF4-FFF2-40B4-BE49-F238E27FC236}">
              <a16:creationId xmlns:a16="http://schemas.microsoft.com/office/drawing/2014/main" id="{00000000-0008-0000-1600-0000D7000000}"/>
            </a:ext>
          </a:extLst>
        </xdr:cNvPr>
        <xdr:cNvGrpSpPr/>
      </xdr:nvGrpSpPr>
      <xdr:grpSpPr>
        <a:xfrm>
          <a:off x="5303760" y="4457880"/>
          <a:ext cx="104400" cy="239400"/>
          <a:chOff x="5303760" y="4457880"/>
          <a:chExt cx="104400" cy="239400"/>
        </a:xfrm>
      </xdr:grpSpPr>
      <xdr:sp macro="" textlink="">
        <xdr:nvSpPr>
          <xdr:cNvPr id="216" name="Line 227">
            <a:extLst>
              <a:ext uri="{FF2B5EF4-FFF2-40B4-BE49-F238E27FC236}">
                <a16:creationId xmlns:a16="http://schemas.microsoft.com/office/drawing/2014/main" id="{00000000-0008-0000-1600-0000D8000000}"/>
              </a:ext>
            </a:extLst>
          </xdr:cNvPr>
          <xdr:cNvSpPr/>
        </xdr:nvSpPr>
        <xdr:spPr>
          <a:xfrm>
            <a:off x="5351280" y="4457880"/>
            <a:ext cx="9720" cy="16308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217" name="Freeform 228">
            <a:extLst>
              <a:ext uri="{FF2B5EF4-FFF2-40B4-BE49-F238E27FC236}">
                <a16:creationId xmlns:a16="http://schemas.microsoft.com/office/drawing/2014/main" id="{00000000-0008-0000-1600-0000D9000000}"/>
              </a:ext>
            </a:extLst>
          </xdr:cNvPr>
          <xdr:cNvSpPr/>
        </xdr:nvSpPr>
        <xdr:spPr>
          <a:xfrm>
            <a:off x="5303760" y="4601880"/>
            <a:ext cx="104400" cy="9540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8</xdr:col>
      <xdr:colOff>426960</xdr:colOff>
      <xdr:row>36</xdr:row>
      <xdr:rowOff>105120</xdr:rowOff>
    </xdr:from>
    <xdr:ext cx="104400" cy="229680"/>
    <xdr:grpSp>
      <xdr:nvGrpSpPr>
        <xdr:cNvPr id="218" name="Group 229">
          <a:extLst>
            <a:ext uri="{FF2B5EF4-FFF2-40B4-BE49-F238E27FC236}">
              <a16:creationId xmlns:a16="http://schemas.microsoft.com/office/drawing/2014/main" id="{00000000-0008-0000-1600-0000DA000000}"/>
            </a:ext>
          </a:extLst>
        </xdr:cNvPr>
        <xdr:cNvGrpSpPr/>
      </xdr:nvGrpSpPr>
      <xdr:grpSpPr>
        <a:xfrm>
          <a:off x="5303760" y="6620220"/>
          <a:ext cx="104400" cy="229680"/>
          <a:chOff x="5303760" y="6620220"/>
          <a:chExt cx="104400" cy="229680"/>
        </a:xfrm>
      </xdr:grpSpPr>
      <xdr:sp macro="" textlink="">
        <xdr:nvSpPr>
          <xdr:cNvPr id="219" name="Line 230">
            <a:extLst>
              <a:ext uri="{FF2B5EF4-FFF2-40B4-BE49-F238E27FC236}">
                <a16:creationId xmlns:a16="http://schemas.microsoft.com/office/drawing/2014/main" id="{00000000-0008-0000-1600-0000DB000000}"/>
              </a:ext>
            </a:extLst>
          </xdr:cNvPr>
          <xdr:cNvSpPr/>
        </xdr:nvSpPr>
        <xdr:spPr>
          <a:xfrm>
            <a:off x="5351280" y="6620220"/>
            <a:ext cx="9720" cy="15336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220" name="Freeform 231">
            <a:extLst>
              <a:ext uri="{FF2B5EF4-FFF2-40B4-BE49-F238E27FC236}">
                <a16:creationId xmlns:a16="http://schemas.microsoft.com/office/drawing/2014/main" id="{00000000-0008-0000-1600-0000DC000000}"/>
              </a:ext>
            </a:extLst>
          </xdr:cNvPr>
          <xdr:cNvSpPr/>
        </xdr:nvSpPr>
        <xdr:spPr>
          <a:xfrm>
            <a:off x="5303760" y="6754500"/>
            <a:ext cx="104400" cy="9540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oneCellAnchor>
    <xdr:from>
      <xdr:col>8</xdr:col>
      <xdr:colOff>426960</xdr:colOff>
      <xdr:row>43</xdr:row>
      <xdr:rowOff>47880</xdr:rowOff>
    </xdr:from>
    <xdr:ext cx="104400" cy="238680"/>
    <xdr:grpSp>
      <xdr:nvGrpSpPr>
        <xdr:cNvPr id="221" name="Group 232">
          <a:extLst>
            <a:ext uri="{FF2B5EF4-FFF2-40B4-BE49-F238E27FC236}">
              <a16:creationId xmlns:a16="http://schemas.microsoft.com/office/drawing/2014/main" id="{00000000-0008-0000-1600-0000DD000000}"/>
            </a:ext>
          </a:extLst>
        </xdr:cNvPr>
        <xdr:cNvGrpSpPr/>
      </xdr:nvGrpSpPr>
      <xdr:grpSpPr>
        <a:xfrm>
          <a:off x="5303760" y="7829805"/>
          <a:ext cx="104400" cy="238680"/>
          <a:chOff x="5303760" y="7829805"/>
          <a:chExt cx="104400" cy="238680"/>
        </a:xfrm>
      </xdr:grpSpPr>
      <xdr:sp macro="" textlink="">
        <xdr:nvSpPr>
          <xdr:cNvPr id="222" name="Line 233">
            <a:extLst>
              <a:ext uri="{FF2B5EF4-FFF2-40B4-BE49-F238E27FC236}">
                <a16:creationId xmlns:a16="http://schemas.microsoft.com/office/drawing/2014/main" id="{00000000-0008-0000-1600-0000DE000000}"/>
              </a:ext>
            </a:extLst>
          </xdr:cNvPr>
          <xdr:cNvSpPr/>
        </xdr:nvSpPr>
        <xdr:spPr>
          <a:xfrm>
            <a:off x="5351280" y="7829805"/>
            <a:ext cx="9720" cy="162720"/>
          </a:xfrm>
          <a:prstGeom prst="line">
            <a:avLst/>
          </a:prstGeom>
          <a:noFill/>
          <a:ln w="9360">
            <a:solidFill>
              <a:srgbClr val="000000"/>
            </a:solidFill>
            <a:prstDash val="solid"/>
            <a:round/>
          </a:ln>
        </xdr:spPr>
        <xdr:txBody>
          <a:bodyPr vert="horz" wrap="square" lIns="90000" tIns="45000" rIns="90000" bIns="45000" anchor="ctr" anchorCtr="1" compatLnSpc="0">
            <a:noAutofit/>
          </a:bodyPr>
          <a:lstStyle/>
          <a:p>
            <a:pPr lvl="0" rtl="0" hangingPunct="0">
              <a:buNone/>
              <a:tabLst/>
            </a:pPr>
            <a:endParaRPr lang="sl-SI" sz="1200" kern="1200">
              <a:latin typeface="Times New Roman" pitchFamily="18"/>
            </a:endParaRPr>
          </a:p>
        </xdr:txBody>
      </xdr:sp>
      <xdr:sp macro="" textlink="">
        <xdr:nvSpPr>
          <xdr:cNvPr id="223" name="Freeform 234">
            <a:extLst>
              <a:ext uri="{FF2B5EF4-FFF2-40B4-BE49-F238E27FC236}">
                <a16:creationId xmlns:a16="http://schemas.microsoft.com/office/drawing/2014/main" id="{00000000-0008-0000-1600-0000DF000000}"/>
              </a:ext>
            </a:extLst>
          </xdr:cNvPr>
          <xdr:cNvSpPr/>
        </xdr:nvSpPr>
        <xdr:spPr>
          <a:xfrm>
            <a:off x="5303760" y="7973445"/>
            <a:ext cx="104400" cy="95040"/>
          </a:xfrm>
          <a:custGeom>
            <a:avLst/>
            <a:gdLst>
              <a:gd name="f0" fmla="val 0"/>
              <a:gd name="f1" fmla="val 11"/>
              <a:gd name="f2" fmla="val 10"/>
              <a:gd name="f3" fmla="val 5"/>
            </a:gdLst>
            <a:ahLst/>
            <a:cxnLst>
              <a:cxn ang="3cd4">
                <a:pos x="hc" y="t"/>
              </a:cxn>
              <a:cxn ang="0">
                <a:pos x="r" y="vc"/>
              </a:cxn>
              <a:cxn ang="cd4">
                <a:pos x="hc" y="b"/>
              </a:cxn>
              <a:cxn ang="cd2">
                <a:pos x="l" y="vc"/>
              </a:cxn>
            </a:cxnLst>
            <a:rect l="l" t="t" r="r" b="b"/>
            <a:pathLst>
              <a:path w="11" h="10">
                <a:moveTo>
                  <a:pt x="f0" y="f0"/>
                </a:moveTo>
                <a:lnTo>
                  <a:pt x="f3" y="f2"/>
                </a:lnTo>
                <a:lnTo>
                  <a:pt x="f1" y="f0"/>
                </a:lnTo>
                <a:lnTo>
                  <a:pt x="f0" y="f0"/>
                </a:lnTo>
                <a:close/>
              </a:path>
            </a:pathLst>
          </a:custGeom>
          <a:solidFill>
            <a:srgbClr val="000000"/>
          </a:solidFill>
          <a:ln>
            <a:noFill/>
            <a:prstDash val="solid"/>
          </a:ln>
        </xdr:spPr>
        <xdr:txBody>
          <a:bodyPr vert="horz" wrap="square" lIns="90000" tIns="45000" rIns="90000" bIns="45000" compatLnSpc="0">
            <a:noAutofit/>
          </a:bodyPr>
          <a:lstStyle/>
          <a:p>
            <a:pPr lvl="0" rtl="0" hangingPunct="0">
              <a:buNone/>
              <a:tabLst/>
            </a:pPr>
            <a:endParaRPr lang="sl-SI" sz="1200" kern="1200">
              <a:latin typeface="Times New Roman" pitchFamily="18"/>
            </a:endParaRPr>
          </a:p>
        </xdr:txBody>
      </xdr:sp>
    </xdr:grp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19440</xdr:colOff>
      <xdr:row>6</xdr:row>
      <xdr:rowOff>93600</xdr:rowOff>
    </xdr:from>
    <xdr:ext cx="7581510" cy="4011675"/>
    <xdr:graphicFrame macro="">
      <xdr:nvGraphicFramePr>
        <xdr:cNvPr id="2" name="Grafikon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7.xml><?xml version="1.0" encoding="utf-8"?>
<xdr:wsDr xmlns:xdr="http://schemas.openxmlformats.org/drawingml/2006/spreadsheetDrawing" xmlns:a="http://schemas.openxmlformats.org/drawingml/2006/main">
  <xdr:oneCellAnchor>
    <xdr:from>
      <xdr:col>3</xdr:col>
      <xdr:colOff>29160</xdr:colOff>
      <xdr:row>15</xdr:row>
      <xdr:rowOff>28437</xdr:rowOff>
    </xdr:from>
    <xdr:ext cx="18183602" cy="3014283"/>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37</xdr:col>
      <xdr:colOff>40681</xdr:colOff>
      <xdr:row>8</xdr:row>
      <xdr:rowOff>57598</xdr:rowOff>
    </xdr:from>
    <xdr:ext cx="2349358" cy="7668359"/>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JanezJurancic\HOBOTNICA\KUPCI\PHILIPS\Philips%20POL\Spigot%20Holder%20UniStreet%20BGP203\PPAP_442710181970\PPAP_442710181970.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PJM\PMO\Kovigal_PPAP.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JanezJurancic\HOBOTNICA\KUPCI\PHILIPS\Philips%20HUN\DC%20Heatsink%20GSA%20Gridlight\SUBMISION\FMEA_44431101020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OMPI/osebno/LVL/Philips/EC_442710181970.0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JanezJurancic\HOBOTNICA\KUPCI\PHILIPS\Spigot%20Holder%20UniStreet%20BGP203\PPAP%20documentation\EC_442710181970.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AP Elements"/>
      <sheetName val="Instruction"/>
      <sheetName val="PSW"/>
      <sheetName val="Design record"/>
      <sheetName val="Cust. Eng. approval"/>
      <sheetName val="DFMEA"/>
      <sheetName val="Process flow Diagram"/>
      <sheetName val="PFMEA"/>
      <sheetName val="ControlPlan"/>
      <sheetName val="MSA"/>
      <sheetName val="Instruction for MSA"/>
      <sheetName val="AIAG GR&amp;R"/>
      <sheetName val="Graphical Summary"/>
      <sheetName val="Numerical Summary"/>
      <sheetName val="Calculations"/>
      <sheetName val="Calculations (2)"/>
      <sheetName val="Dimensional results"/>
      <sheetName val="Material-performance test"/>
      <sheetName val="Initial Process Studies"/>
      <sheetName val="Input measurements"/>
      <sheetName val="result graph"/>
      <sheetName val="graph"/>
      <sheetName val="graph (2)"/>
      <sheetName val="graph (3)"/>
      <sheetName val="Qual. Lab. Doc."/>
      <sheetName val="Appearance approval"/>
      <sheetName val="Sample prod. part (Run@rate)"/>
      <sheetName val="Data Entry"/>
      <sheetName val="Master Sample"/>
      <sheetName val="Checking Aids"/>
      <sheetName val="Customer Specific"/>
      <sheetName val="Oth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2">
          <cell r="X12">
            <v>3</v>
          </cell>
        </row>
        <row r="13">
          <cell r="X13">
            <v>10</v>
          </cell>
        </row>
        <row r="72">
          <cell r="AR72" t="str">
            <v>Op A</v>
          </cell>
          <cell r="AS72">
            <v>13.95</v>
          </cell>
          <cell r="AT72">
            <v>13.95</v>
          </cell>
          <cell r="AU72">
            <v>13.96</v>
          </cell>
          <cell r="AV72">
            <v>13.99</v>
          </cell>
          <cell r="AW72">
            <v>13.98</v>
          </cell>
          <cell r="AX72">
            <v>13.96</v>
          </cell>
          <cell r="AY72">
            <v>13.94</v>
          </cell>
          <cell r="AZ72">
            <v>13.92</v>
          </cell>
          <cell r="BA72">
            <v>13.9</v>
          </cell>
          <cell r="BB72">
            <v>13.95</v>
          </cell>
          <cell r="BC72">
            <v>13.95</v>
          </cell>
          <cell r="BD72">
            <v>13.94</v>
          </cell>
          <cell r="BE72">
            <v>13.91</v>
          </cell>
          <cell r="BF72">
            <v>13.92</v>
          </cell>
          <cell r="BG72">
            <v>13.91</v>
          </cell>
          <cell r="BH72">
            <v>13.98</v>
          </cell>
          <cell r="BI72">
            <v>13.94</v>
          </cell>
          <cell r="BJ72">
            <v>13.95</v>
          </cell>
          <cell r="BK72">
            <v>13.95</v>
          </cell>
          <cell r="BL72">
            <v>13.95</v>
          </cell>
          <cell r="BM72">
            <v>13.96</v>
          </cell>
          <cell r="BN72">
            <v>13.96</v>
          </cell>
          <cell r="BO72">
            <v>13.96</v>
          </cell>
          <cell r="BP72">
            <v>13.95</v>
          </cell>
          <cell r="BQ72">
            <v>13.97</v>
          </cell>
          <cell r="BR72">
            <v>13.97</v>
          </cell>
          <cell r="BS72">
            <v>13.96</v>
          </cell>
          <cell r="BT72">
            <v>13.97</v>
          </cell>
          <cell r="BU72">
            <v>13.96</v>
          </cell>
          <cell r="BV72">
            <v>13.96</v>
          </cell>
          <cell r="BW72">
            <v>13.950666666666661</v>
          </cell>
        </row>
        <row r="74">
          <cell r="AF74">
            <v>13.95</v>
          </cell>
          <cell r="AG74">
            <v>13.95</v>
          </cell>
          <cell r="AH74">
            <v>13.96</v>
          </cell>
          <cell r="AI74">
            <v>13.97</v>
          </cell>
          <cell r="AJ74">
            <v>13.97</v>
          </cell>
          <cell r="AK74">
            <v>13.98</v>
          </cell>
          <cell r="AL74">
            <v>13.96</v>
          </cell>
          <cell r="AM74">
            <v>13.96</v>
          </cell>
          <cell r="AN74">
            <v>13.98</v>
          </cell>
          <cell r="AO74">
            <v>13.964444444444446</v>
          </cell>
        </row>
        <row r="84">
          <cell r="AO84">
            <v>13.953333333333333</v>
          </cell>
          <cell r="AP84">
            <v>13.973333333333334</v>
          </cell>
          <cell r="AQ84">
            <v>13.966666666666669</v>
          </cell>
        </row>
        <row r="108">
          <cell r="N108"/>
          <cell r="O108">
            <v>13.953333333333333</v>
          </cell>
          <cell r="P108" t="e">
            <v>#N/A</v>
          </cell>
          <cell r="Q108" t="e">
            <v>#N/A</v>
          </cell>
          <cell r="R108">
            <v>1.0000000000001563E-2</v>
          </cell>
          <cell r="S108" t="e">
            <v>#N/A</v>
          </cell>
          <cell r="T108" t="e">
            <v>#N/A</v>
          </cell>
          <cell r="V108">
            <v>13.955888888888891</v>
          </cell>
          <cell r="W108">
            <v>1.7666666666666882E-2</v>
          </cell>
          <cell r="X108">
            <v>13.973961888888891</v>
          </cell>
          <cell r="Y108">
            <v>13.937815888888892</v>
          </cell>
          <cell r="Z108">
            <v>4.5491666666667228E-2</v>
          </cell>
        </row>
        <row r="111">
          <cell r="AC111">
            <v>30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AP Elements"/>
      <sheetName val="PSW"/>
      <sheetName val="Design record"/>
      <sheetName val="Cust. Eng. approval"/>
      <sheetName val="DFMEA"/>
      <sheetName val="Process flow Diagram"/>
      <sheetName val="PFMEA"/>
      <sheetName val="ControlPlan"/>
      <sheetName val="MSA"/>
      <sheetName val="Instruction for MSA"/>
      <sheetName val="AIAG GR&amp;R"/>
      <sheetName val="Graphical Summary"/>
      <sheetName val="Numerical Summary"/>
      <sheetName val="Calculations"/>
      <sheetName val="Calculations (2)"/>
      <sheetName val="Dimensional results"/>
      <sheetName val="Material-performance test"/>
      <sheetName val="Initial Process Studies"/>
      <sheetName val="Input measurements"/>
      <sheetName val="result graph"/>
      <sheetName val="graph"/>
      <sheetName val="graph (2)"/>
      <sheetName val="graph (3)"/>
      <sheetName val="Qual. Lab. Doc."/>
      <sheetName val="Appearance approval"/>
      <sheetName val="Sample prod. part (Run@rate)"/>
      <sheetName val="Data Entry"/>
      <sheetName val="Master Sample"/>
      <sheetName val="Checking Aids"/>
      <sheetName val="Customer Specific"/>
      <sheetName val="Oth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2">
          <cell r="X12">
            <v>0</v>
          </cell>
        </row>
        <row r="13">
          <cell r="X13">
            <v>0</v>
          </cell>
        </row>
        <row r="72">
          <cell r="AR72" t="str">
            <v>Op A</v>
          </cell>
          <cell r="AS72" t="e">
            <v>#N/A</v>
          </cell>
          <cell r="AT72" t="e">
            <v>#N/A</v>
          </cell>
          <cell r="AU72" t="e">
            <v>#N/A</v>
          </cell>
          <cell r="AV72" t="e">
            <v>#N/A</v>
          </cell>
          <cell r="AW72" t="e">
            <v>#N/A</v>
          </cell>
          <cell r="AX72" t="e">
            <v>#N/A</v>
          </cell>
          <cell r="AY72" t="e">
            <v>#N/A</v>
          </cell>
          <cell r="AZ72" t="e">
            <v>#N/A</v>
          </cell>
          <cell r="BA72" t="e">
            <v>#N/A</v>
          </cell>
          <cell r="BB72" t="e">
            <v>#N/A</v>
          </cell>
          <cell r="BC72" t="e">
            <v>#N/A</v>
          </cell>
          <cell r="BD72" t="e">
            <v>#N/A</v>
          </cell>
          <cell r="BE72" t="e">
            <v>#N/A</v>
          </cell>
          <cell r="BF72" t="e">
            <v>#N/A</v>
          </cell>
          <cell r="BG72" t="e">
            <v>#N/A</v>
          </cell>
          <cell r="BH72" t="e">
            <v>#N/A</v>
          </cell>
          <cell r="BI72" t="e">
            <v>#N/A</v>
          </cell>
          <cell r="BJ72" t="e">
            <v>#N/A</v>
          </cell>
          <cell r="BK72" t="e">
            <v>#N/A</v>
          </cell>
          <cell r="BL72" t="e">
            <v>#N/A</v>
          </cell>
          <cell r="BM72" t="e">
            <v>#N/A</v>
          </cell>
          <cell r="BN72" t="e">
            <v>#N/A</v>
          </cell>
          <cell r="BO72" t="e">
            <v>#N/A</v>
          </cell>
          <cell r="BP72" t="e">
            <v>#N/A</v>
          </cell>
          <cell r="BQ72" t="e">
            <v>#N/A</v>
          </cell>
          <cell r="BR72" t="e">
            <v>#N/A</v>
          </cell>
          <cell r="BS72" t="e">
            <v>#N/A</v>
          </cell>
          <cell r="BT72" t="e">
            <v>#N/A</v>
          </cell>
          <cell r="BU72" t="e">
            <v>#N/A</v>
          </cell>
          <cell r="BV72" t="e">
            <v>#N/A</v>
          </cell>
          <cell r="BW72" t="e">
            <v>#N/A</v>
          </cell>
        </row>
        <row r="74">
          <cell r="AF74" t="e">
            <v>#N/A</v>
          </cell>
          <cell r="AG74" t="e">
            <v>#N/A</v>
          </cell>
          <cell r="AH74" t="e">
            <v>#N/A</v>
          </cell>
          <cell r="AI74" t="e">
            <v>#N/A</v>
          </cell>
          <cell r="AJ74" t="e">
            <v>#N/A</v>
          </cell>
          <cell r="AK74" t="e">
            <v>#N/A</v>
          </cell>
          <cell r="AL74" t="e">
            <v>#N/A</v>
          </cell>
          <cell r="AM74" t="e">
            <v>#N/A</v>
          </cell>
          <cell r="AN74" t="e">
            <v>#N/A</v>
          </cell>
          <cell r="AO74" t="e">
            <v>#DIV/0!</v>
          </cell>
        </row>
        <row r="84">
          <cell r="AO84" t="e">
            <v>#N/A</v>
          </cell>
          <cell r="AP84" t="e">
            <v>#N/A</v>
          </cell>
          <cell r="AQ84" t="e">
            <v>#N/A</v>
          </cell>
        </row>
        <row r="108">
          <cell r="N108" t="str">
            <v/>
          </cell>
          <cell r="O108" t="str">
            <v/>
          </cell>
          <cell r="P108" t="str">
            <v/>
          </cell>
          <cell r="Q108" t="str">
            <v/>
          </cell>
          <cell r="R108" t="str">
            <v/>
          </cell>
          <cell r="S108" t="str">
            <v/>
          </cell>
          <cell r="T108" t="str">
            <v/>
          </cell>
          <cell r="V108" t="e">
            <v>#DIV/0!</v>
          </cell>
          <cell r="W108" t="e">
            <v>#DIV/0!</v>
          </cell>
          <cell r="X108" t="b">
            <v>0</v>
          </cell>
          <cell r="Y108" t="b">
            <v>0</v>
          </cell>
          <cell r="Z108" t="b">
            <v>0</v>
          </cell>
        </row>
        <row r="111">
          <cell r="AC111">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AP Elements"/>
      <sheetName val="Instruction"/>
      <sheetName val="PSW"/>
      <sheetName val="Design record"/>
      <sheetName val="Cust. Eng. approval"/>
      <sheetName val="DFMEA"/>
      <sheetName val="Process flow Diagram"/>
      <sheetName val="PFMEA"/>
      <sheetName val="ControlPlan"/>
      <sheetName val="MSA"/>
      <sheetName val="Instruction for MSA"/>
      <sheetName val="AIAG GR&amp;R"/>
      <sheetName val="Graphical Summary"/>
      <sheetName val="Numerical Summary"/>
      <sheetName val="Calculations"/>
      <sheetName val="Calculations (2)"/>
      <sheetName val="Dimensional results"/>
      <sheetName val="Material-performance test"/>
      <sheetName val="Initial Process Studies"/>
      <sheetName val="Input measurements"/>
      <sheetName val="result graph"/>
      <sheetName val="graph"/>
      <sheetName val="graph (2)"/>
      <sheetName val="graph (3)"/>
      <sheetName val="Qual. Lab. Doc."/>
      <sheetName val="Appearance approval"/>
      <sheetName val="Sample prod. part (Run@rate)"/>
      <sheetName val="Data Entry"/>
      <sheetName val="Master Sample"/>
      <sheetName val="Checking Aids"/>
      <sheetName val="Customer Specific"/>
      <sheetName val="Oth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2">
          <cell r="X12">
            <v>3</v>
          </cell>
        </row>
        <row r="13">
          <cell r="X13">
            <v>10</v>
          </cell>
        </row>
        <row r="72">
          <cell r="AR72" t="str">
            <v>Op A</v>
          </cell>
          <cell r="AS72">
            <v>13.95</v>
          </cell>
          <cell r="AT72">
            <v>13.95</v>
          </cell>
          <cell r="AU72">
            <v>13.96</v>
          </cell>
          <cell r="AV72">
            <v>13.99</v>
          </cell>
          <cell r="AW72">
            <v>13.98</v>
          </cell>
          <cell r="AX72">
            <v>13.96</v>
          </cell>
          <cell r="AY72">
            <v>13.94</v>
          </cell>
          <cell r="AZ72">
            <v>13.92</v>
          </cell>
          <cell r="BA72">
            <v>13.9</v>
          </cell>
          <cell r="BB72">
            <v>13.95</v>
          </cell>
          <cell r="BC72">
            <v>13.95</v>
          </cell>
          <cell r="BD72">
            <v>13.94</v>
          </cell>
          <cell r="BE72">
            <v>13.91</v>
          </cell>
          <cell r="BF72">
            <v>13.92</v>
          </cell>
          <cell r="BG72">
            <v>13.91</v>
          </cell>
          <cell r="BH72">
            <v>13.98</v>
          </cell>
          <cell r="BI72">
            <v>13.94</v>
          </cell>
          <cell r="BJ72">
            <v>13.95</v>
          </cell>
          <cell r="BK72">
            <v>13.95</v>
          </cell>
          <cell r="BL72">
            <v>13.95</v>
          </cell>
          <cell r="BM72">
            <v>13.96</v>
          </cell>
          <cell r="BN72">
            <v>13.96</v>
          </cell>
          <cell r="BO72">
            <v>13.96</v>
          </cell>
          <cell r="BP72">
            <v>13.95</v>
          </cell>
          <cell r="BQ72">
            <v>13.97</v>
          </cell>
          <cell r="BR72">
            <v>13.97</v>
          </cell>
          <cell r="BS72">
            <v>13.96</v>
          </cell>
          <cell r="BT72">
            <v>13.97</v>
          </cell>
          <cell r="BU72">
            <v>13.96</v>
          </cell>
          <cell r="BV72">
            <v>13.96</v>
          </cell>
          <cell r="BW72">
            <v>13.950666666666661</v>
          </cell>
        </row>
        <row r="74">
          <cell r="AF74">
            <v>13.95</v>
          </cell>
          <cell r="AG74">
            <v>13.95</v>
          </cell>
          <cell r="AH74">
            <v>13.96</v>
          </cell>
          <cell r="AI74">
            <v>13.97</v>
          </cell>
          <cell r="AJ74">
            <v>13.97</v>
          </cell>
          <cell r="AK74">
            <v>13.98</v>
          </cell>
          <cell r="AL74">
            <v>13.96</v>
          </cell>
          <cell r="AM74">
            <v>13.96</v>
          </cell>
          <cell r="AN74">
            <v>13.98</v>
          </cell>
          <cell r="AO74">
            <v>13.964444444444446</v>
          </cell>
        </row>
        <row r="84">
          <cell r="AO84">
            <v>13.953333333333333</v>
          </cell>
          <cell r="AP84">
            <v>13.973333333333334</v>
          </cell>
          <cell r="AQ84">
            <v>13.966666666666669</v>
          </cell>
        </row>
        <row r="108">
          <cell r="N108"/>
          <cell r="O108">
            <v>13.953333333333333</v>
          </cell>
          <cell r="P108" t="e">
            <v>#N/A</v>
          </cell>
          <cell r="Q108" t="e">
            <v>#N/A</v>
          </cell>
          <cell r="R108">
            <v>1.0000000000001563E-2</v>
          </cell>
          <cell r="S108" t="e">
            <v>#N/A</v>
          </cell>
          <cell r="T108" t="e">
            <v>#N/A</v>
          </cell>
          <cell r="V108">
            <v>13.955888888888891</v>
          </cell>
          <cell r="W108">
            <v>1.7666666666666882E-2</v>
          </cell>
          <cell r="X108">
            <v>13.973961888888891</v>
          </cell>
          <cell r="Y108">
            <v>13.937815888888892</v>
          </cell>
          <cell r="Z108">
            <v>4.5491666666667228E-2</v>
          </cell>
        </row>
        <row r="111">
          <cell r="AC111">
            <v>30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 Change"/>
      <sheetName val="EC_442710181970.00"/>
    </sheetNames>
    <definedNames>
      <definedName name="target" refersTo="#REF!"/>
      <definedName name="targets" refersTo="#REF!"/>
    </defined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 Change"/>
      <sheetName val="EC_442710181970.00"/>
    </sheetNames>
    <definedNames>
      <definedName name="target" refersTo="#REF!"/>
      <definedName name="targets" refersTo="#REF!"/>
    </definedNames>
    <sheetDataSet>
      <sheetData sheetId="0"/>
      <sheetData sheetId="1" refreshError="1"/>
    </sheetDataSet>
  </externalBook>
</externalLink>
</file>

<file path=xl/theme/theme1.xml><?xml version="1.0" encoding="utf-8"?>
<a:theme xmlns:a="http://schemas.openxmlformats.org/drawingml/2006/main" name="Officeova tema">
  <a:themeElements>
    <a:clrScheme name="Pisarna">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isarna">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isarna">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57B7D-B621-4FF5-A2CC-35AB58EA6BD9}">
  <sheetPr>
    <tabColor theme="4" tint="0.39997558519241921"/>
  </sheetPr>
  <dimension ref="A1:U41"/>
  <sheetViews>
    <sheetView tabSelected="1" zoomScaleNormal="100" zoomScaleSheetLayoutView="70" workbookViewId="0">
      <selection activeCell="I24" sqref="I24"/>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79" t="s">
        <v>49</v>
      </c>
      <c r="B2" s="1080"/>
      <c r="C2" s="1080"/>
      <c r="D2" s="1080"/>
      <c r="E2" s="1080"/>
      <c r="F2" s="1080"/>
      <c r="G2" s="1080"/>
      <c r="H2" s="1080"/>
      <c r="I2" s="1080"/>
      <c r="J2" s="1080"/>
      <c r="K2" s="1080"/>
      <c r="L2" s="1080"/>
      <c r="M2" s="1080"/>
      <c r="N2" s="1080"/>
      <c r="O2" s="1080"/>
      <c r="P2" s="1123"/>
      <c r="Q2" s="1080"/>
      <c r="R2" s="1080"/>
      <c r="S2" s="1080"/>
      <c r="T2" s="1080"/>
      <c r="U2" s="1080"/>
    </row>
    <row r="3" spans="1:21" s="103" customFormat="1" ht="32.25" thickBot="1">
      <c r="A3" s="1084" t="s">
        <v>51</v>
      </c>
      <c r="B3" s="1085"/>
      <c r="C3" s="1085"/>
      <c r="D3" s="1085"/>
      <c r="E3" s="1085"/>
      <c r="F3" s="1085"/>
      <c r="G3" s="1085"/>
      <c r="H3" s="1085"/>
      <c r="I3" s="1085"/>
      <c r="J3" s="1085"/>
      <c r="K3" s="1085"/>
      <c r="L3" s="1085"/>
      <c r="M3" s="1085"/>
      <c r="N3" s="1085"/>
      <c r="O3" s="1085"/>
      <c r="P3" s="1085"/>
      <c r="Q3" s="1085"/>
      <c r="R3" s="1085"/>
      <c r="S3" s="1085"/>
      <c r="T3" s="1085"/>
      <c r="U3" s="1086"/>
    </row>
    <row r="4" spans="1:21" ht="15.75">
      <c r="A4" s="1121" t="s">
        <v>2</v>
      </c>
      <c r="B4" s="1122"/>
      <c r="C4" s="1119"/>
      <c r="D4" s="1120"/>
      <c r="E4" s="56" t="s">
        <v>48</v>
      </c>
      <c r="F4" s="1116"/>
      <c r="G4" s="1117"/>
      <c r="H4" s="1117"/>
      <c r="I4" s="1117"/>
      <c r="J4" s="1117"/>
      <c r="K4" s="1117"/>
      <c r="L4" s="1117"/>
      <c r="M4" s="1118"/>
      <c r="N4" s="57" t="s">
        <v>4</v>
      </c>
      <c r="O4" s="1113"/>
      <c r="P4" s="1114"/>
      <c r="Q4" s="1114"/>
      <c r="R4" s="1114"/>
      <c r="S4" s="1114"/>
      <c r="T4" s="1114"/>
      <c r="U4" s="1115"/>
    </row>
    <row r="5" spans="1:21" ht="16.5" thickBot="1">
      <c r="A5" s="632" t="s">
        <v>5</v>
      </c>
      <c r="B5" s="633"/>
      <c r="C5" s="1111"/>
      <c r="D5" s="1112"/>
      <c r="E5" s="49" t="s">
        <v>6</v>
      </c>
      <c r="F5" s="1108"/>
      <c r="G5" s="1109"/>
      <c r="H5" s="1109"/>
      <c r="I5" s="1109"/>
      <c r="J5" s="1109"/>
      <c r="K5" s="1109"/>
      <c r="L5" s="1109"/>
      <c r="M5" s="1110"/>
      <c r="N5" s="50" t="s">
        <v>7</v>
      </c>
      <c r="O5" s="1107"/>
      <c r="P5" s="637"/>
      <c r="Q5" s="637"/>
      <c r="R5" s="637"/>
      <c r="S5" s="637"/>
      <c r="T5" s="637"/>
      <c r="U5" s="638"/>
    </row>
    <row r="6" spans="1:21" ht="16.5" thickBot="1">
      <c r="A6" s="1105" t="s">
        <v>8</v>
      </c>
      <c r="B6" s="1106"/>
      <c r="C6" s="1102"/>
      <c r="D6" s="1103"/>
      <c r="E6" s="1103"/>
      <c r="F6" s="1103"/>
      <c r="G6" s="1103"/>
      <c r="H6" s="1103"/>
      <c r="I6" s="1103"/>
      <c r="J6" s="1103"/>
      <c r="K6" s="1103"/>
      <c r="L6" s="1103"/>
      <c r="M6" s="1104"/>
      <c r="N6" s="51" t="s">
        <v>9</v>
      </c>
      <c r="O6" s="1"/>
      <c r="P6" s="1"/>
      <c r="Q6" s="2" t="s">
        <v>10</v>
      </c>
      <c r="R6" s="1099"/>
      <c r="S6" s="1100"/>
      <c r="T6" s="1100"/>
      <c r="U6" s="1101"/>
    </row>
    <row r="7" spans="1:21" ht="13.5" customHeight="1" thickBot="1">
      <c r="A7" s="1097" t="s">
        <v>11</v>
      </c>
      <c r="B7" s="649" t="s">
        <v>50</v>
      </c>
      <c r="C7" s="649" t="s">
        <v>12</v>
      </c>
      <c r="D7" s="649" t="s">
        <v>13</v>
      </c>
      <c r="E7" s="649" t="s">
        <v>14</v>
      </c>
      <c r="F7" s="626" t="s">
        <v>15</v>
      </c>
      <c r="G7" s="626" t="s">
        <v>16</v>
      </c>
      <c r="H7" s="649" t="s">
        <v>17</v>
      </c>
      <c r="I7" s="622" t="s">
        <v>18</v>
      </c>
      <c r="J7" s="623"/>
      <c r="K7" s="623"/>
      <c r="L7" s="1091"/>
      <c r="M7" s="626" t="s">
        <v>19</v>
      </c>
      <c r="N7" s="628" t="s">
        <v>20</v>
      </c>
      <c r="O7" s="628" t="s">
        <v>260</v>
      </c>
      <c r="P7" s="628" t="s">
        <v>175</v>
      </c>
      <c r="Q7" s="1094" t="s">
        <v>21</v>
      </c>
      <c r="R7" s="1095"/>
      <c r="S7" s="1095"/>
      <c r="T7" s="1095"/>
      <c r="U7" s="1096"/>
    </row>
    <row r="8" spans="1:21" ht="59.25">
      <c r="A8" s="1098"/>
      <c r="B8" s="650"/>
      <c r="C8" s="1092"/>
      <c r="D8" s="1092"/>
      <c r="E8" s="1092"/>
      <c r="F8" s="1093"/>
      <c r="G8" s="1093"/>
      <c r="H8" s="1092"/>
      <c r="I8" s="240" t="s">
        <v>22</v>
      </c>
      <c r="J8" s="239" t="s">
        <v>23</v>
      </c>
      <c r="K8" s="240" t="s">
        <v>24</v>
      </c>
      <c r="L8" s="238" t="s">
        <v>25</v>
      </c>
      <c r="M8" s="1090"/>
      <c r="N8" s="629"/>
      <c r="O8" s="629"/>
      <c r="P8" s="629"/>
      <c r="Q8" s="240" t="s">
        <v>26</v>
      </c>
      <c r="R8" s="238" t="s">
        <v>15</v>
      </c>
      <c r="S8" s="238" t="s">
        <v>27</v>
      </c>
      <c r="T8" s="238" t="s">
        <v>25</v>
      </c>
      <c r="U8" s="54" t="s">
        <v>19</v>
      </c>
    </row>
    <row r="9" spans="1:21" ht="15">
      <c r="A9" s="1075"/>
      <c r="B9" s="1076"/>
      <c r="C9" s="3"/>
      <c r="D9" s="4"/>
      <c r="E9" s="13"/>
      <c r="F9" s="5"/>
      <c r="G9" s="6"/>
      <c r="H9" s="7"/>
      <c r="I9" s="8"/>
      <c r="J9" s="5"/>
      <c r="K9" s="8"/>
      <c r="L9" s="5"/>
      <c r="M9" s="9"/>
      <c r="N9" s="10"/>
      <c r="O9" s="11"/>
      <c r="P9" s="11"/>
      <c r="Q9" s="11"/>
      <c r="R9" s="11"/>
      <c r="S9" s="11"/>
      <c r="T9" s="11"/>
      <c r="U9" s="12"/>
    </row>
    <row r="10" spans="1:21" ht="15">
      <c r="A10" s="16"/>
      <c r="B10" s="17"/>
      <c r="C10" s="18"/>
      <c r="D10" s="19"/>
      <c r="E10" s="20"/>
      <c r="F10" s="21"/>
      <c r="G10" s="22"/>
      <c r="H10" s="23"/>
      <c r="I10" s="24"/>
      <c r="J10" s="21"/>
      <c r="K10" s="24"/>
      <c r="L10" s="21"/>
      <c r="M10" s="9"/>
      <c r="N10" s="14"/>
      <c r="O10" s="14"/>
      <c r="P10" s="14"/>
      <c r="Q10" s="15"/>
      <c r="R10" s="11"/>
      <c r="S10" s="11"/>
      <c r="T10" s="11"/>
      <c r="U10" s="12"/>
    </row>
    <row r="11" spans="1:21" ht="15">
      <c r="A11" s="16"/>
      <c r="B11" s="17"/>
      <c r="C11" s="18"/>
      <c r="D11" s="19"/>
      <c r="E11" s="20"/>
      <c r="F11" s="21"/>
      <c r="G11" s="22"/>
      <c r="H11" s="23"/>
      <c r="I11" s="24"/>
      <c r="J11" s="21"/>
      <c r="K11" s="24"/>
      <c r="L11" s="21"/>
      <c r="M11" s="9"/>
      <c r="N11" s="14"/>
      <c r="O11" s="14"/>
      <c r="P11" s="14"/>
      <c r="Q11" s="15"/>
      <c r="R11" s="11"/>
      <c r="S11" s="11"/>
      <c r="T11" s="11"/>
      <c r="U11" s="12"/>
    </row>
    <row r="12" spans="1:21" ht="15">
      <c r="A12" s="16"/>
      <c r="B12" s="17"/>
      <c r="C12" s="18"/>
      <c r="D12" s="19"/>
      <c r="E12" s="20"/>
      <c r="F12" s="21"/>
      <c r="G12" s="22"/>
      <c r="H12" s="23"/>
      <c r="I12" s="24"/>
      <c r="J12" s="21"/>
      <c r="K12" s="24"/>
      <c r="L12" s="21"/>
      <c r="M12" s="9"/>
      <c r="N12" s="14"/>
      <c r="O12" s="14"/>
      <c r="P12" s="14"/>
      <c r="Q12" s="15"/>
      <c r="R12" s="11"/>
      <c r="S12" s="11"/>
      <c r="T12" s="11"/>
      <c r="U12" s="12"/>
    </row>
    <row r="13" spans="1:21" ht="15">
      <c r="A13" s="16"/>
      <c r="B13" s="17"/>
      <c r="C13" s="18"/>
      <c r="D13" s="19"/>
      <c r="E13" s="20"/>
      <c r="F13" s="21"/>
      <c r="G13" s="22"/>
      <c r="H13" s="23"/>
      <c r="I13" s="24"/>
      <c r="J13" s="21"/>
      <c r="K13" s="24"/>
      <c r="L13" s="21"/>
      <c r="M13" s="9"/>
      <c r="N13" s="14"/>
      <c r="O13" s="14"/>
      <c r="P13" s="14"/>
      <c r="Q13" s="15"/>
      <c r="R13" s="11"/>
      <c r="S13" s="11"/>
      <c r="T13" s="11"/>
      <c r="U13" s="12"/>
    </row>
    <row r="14" spans="1:21" ht="15">
      <c r="A14" s="16"/>
      <c r="B14" s="17"/>
      <c r="C14" s="18"/>
      <c r="D14" s="19"/>
      <c r="E14" s="20"/>
      <c r="F14" s="21"/>
      <c r="G14" s="22"/>
      <c r="H14" s="23"/>
      <c r="I14" s="24"/>
      <c r="J14" s="21"/>
      <c r="K14" s="24"/>
      <c r="L14" s="21"/>
      <c r="M14" s="9"/>
      <c r="N14" s="14"/>
      <c r="O14" s="14"/>
      <c r="P14" s="14"/>
      <c r="Q14" s="15"/>
      <c r="R14" s="11"/>
      <c r="S14" s="11"/>
      <c r="T14" s="11"/>
      <c r="U14" s="12"/>
    </row>
    <row r="15" spans="1:21" ht="15">
      <c r="A15" s="16"/>
      <c r="B15" s="17"/>
      <c r="C15" s="18"/>
      <c r="D15" s="19"/>
      <c r="E15" s="20"/>
      <c r="F15" s="21"/>
      <c r="G15" s="22"/>
      <c r="H15" s="23"/>
      <c r="I15" s="24"/>
      <c r="J15" s="21"/>
      <c r="K15" s="24"/>
      <c r="L15" s="21"/>
      <c r="M15" s="9"/>
      <c r="N15" s="14"/>
      <c r="O15" s="14"/>
      <c r="P15" s="14"/>
      <c r="Q15" s="15"/>
      <c r="R15" s="11"/>
      <c r="S15" s="11"/>
      <c r="T15" s="11"/>
      <c r="U15" s="12"/>
    </row>
    <row r="16" spans="1:21" ht="15">
      <c r="A16" s="16"/>
      <c r="B16" s="17"/>
      <c r="C16" s="18"/>
      <c r="D16" s="19"/>
      <c r="E16" s="20"/>
      <c r="F16" s="21"/>
      <c r="G16" s="22"/>
      <c r="H16" s="23"/>
      <c r="I16" s="24"/>
      <c r="J16" s="21"/>
      <c r="K16" s="24"/>
      <c r="L16" s="21"/>
      <c r="M16" s="9"/>
      <c r="N16" s="14"/>
      <c r="O16" s="14"/>
      <c r="P16" s="14"/>
      <c r="Q16" s="15"/>
      <c r="R16" s="11"/>
      <c r="S16" s="11"/>
      <c r="T16" s="11"/>
      <c r="U16" s="12"/>
    </row>
    <row r="17" spans="1:21" ht="15">
      <c r="A17" s="16"/>
      <c r="B17" s="17"/>
      <c r="C17" s="18"/>
      <c r="D17" s="19"/>
      <c r="E17" s="20"/>
      <c r="F17" s="21"/>
      <c r="G17" s="22"/>
      <c r="H17" s="23"/>
      <c r="I17" s="24"/>
      <c r="J17" s="21"/>
      <c r="K17" s="24"/>
      <c r="L17" s="21"/>
      <c r="M17" s="9"/>
      <c r="N17" s="14"/>
      <c r="O17" s="14"/>
      <c r="P17" s="14"/>
      <c r="Q17" s="15"/>
      <c r="R17" s="11"/>
      <c r="S17" s="11"/>
      <c r="T17" s="11"/>
      <c r="U17" s="12"/>
    </row>
    <row r="18" spans="1:21" ht="15">
      <c r="A18" s="16"/>
      <c r="B18" s="17"/>
      <c r="C18" s="18"/>
      <c r="D18" s="19"/>
      <c r="E18" s="20"/>
      <c r="F18" s="21"/>
      <c r="G18" s="22"/>
      <c r="H18" s="23"/>
      <c r="I18" s="24"/>
      <c r="J18" s="21"/>
      <c r="K18" s="24"/>
      <c r="L18" s="21"/>
      <c r="M18" s="9"/>
      <c r="N18" s="14"/>
      <c r="O18" s="14"/>
      <c r="P18" s="14"/>
      <c r="Q18" s="15"/>
      <c r="R18" s="11"/>
      <c r="S18" s="11"/>
      <c r="T18" s="11"/>
      <c r="U18" s="12"/>
    </row>
    <row r="19" spans="1:21" ht="15">
      <c r="A19" s="16"/>
      <c r="B19" s="17"/>
      <c r="C19" s="18"/>
      <c r="D19" s="19"/>
      <c r="E19" s="20"/>
      <c r="F19" s="21"/>
      <c r="G19" s="22"/>
      <c r="H19" s="23"/>
      <c r="I19" s="24"/>
      <c r="J19" s="21"/>
      <c r="K19" s="24"/>
      <c r="L19" s="21"/>
      <c r="M19" s="9"/>
      <c r="N19" s="14"/>
      <c r="O19" s="14"/>
      <c r="P19" s="14"/>
      <c r="Q19" s="15"/>
      <c r="R19" s="11"/>
      <c r="S19" s="11"/>
      <c r="T19" s="11"/>
      <c r="U19" s="12"/>
    </row>
    <row r="20" spans="1:21" ht="15">
      <c r="A20" s="16"/>
      <c r="B20" s="17"/>
      <c r="C20" s="18"/>
      <c r="D20" s="19"/>
      <c r="E20" s="20"/>
      <c r="F20" s="21"/>
      <c r="G20" s="22"/>
      <c r="H20" s="23"/>
      <c r="I20" s="24"/>
      <c r="J20" s="21"/>
      <c r="K20" s="24"/>
      <c r="L20" s="21"/>
      <c r="M20" s="9"/>
      <c r="N20" s="14"/>
      <c r="O20" s="14"/>
      <c r="P20" s="14"/>
      <c r="Q20" s="15"/>
      <c r="R20" s="11"/>
      <c r="S20" s="11"/>
      <c r="T20" s="11"/>
      <c r="U20" s="12"/>
    </row>
    <row r="21" spans="1:21" ht="15">
      <c r="A21" s="16"/>
      <c r="B21" s="17"/>
      <c r="C21" s="18"/>
      <c r="D21" s="19"/>
      <c r="E21" s="20"/>
      <c r="F21" s="21"/>
      <c r="G21" s="22"/>
      <c r="H21" s="23"/>
      <c r="I21" s="24"/>
      <c r="J21" s="21"/>
      <c r="K21" s="24"/>
      <c r="L21" s="21"/>
      <c r="M21" s="9"/>
      <c r="N21" s="14"/>
      <c r="O21" s="14"/>
      <c r="P21" s="14"/>
      <c r="Q21" s="15"/>
      <c r="R21" s="11"/>
      <c r="S21" s="11"/>
      <c r="T21" s="11"/>
      <c r="U21" s="12"/>
    </row>
    <row r="22" spans="1:21" ht="15">
      <c r="A22" s="16"/>
      <c r="B22" s="17"/>
      <c r="C22" s="18"/>
      <c r="D22" s="19"/>
      <c r="E22" s="20"/>
      <c r="F22" s="21"/>
      <c r="G22" s="22"/>
      <c r="H22" s="20"/>
      <c r="I22" s="24"/>
      <c r="J22" s="21"/>
      <c r="K22" s="24"/>
      <c r="L22" s="21"/>
      <c r="M22" s="9"/>
      <c r="N22" s="14"/>
      <c r="O22" s="14"/>
      <c r="P22" s="14"/>
      <c r="Q22" s="14"/>
      <c r="R22" s="11"/>
      <c r="S22" s="11"/>
      <c r="T22" s="11"/>
      <c r="U22" s="12"/>
    </row>
    <row r="23" spans="1:21" ht="15">
      <c r="A23" s="16"/>
      <c r="B23" s="17"/>
      <c r="C23" s="18"/>
      <c r="D23" s="19"/>
      <c r="E23" s="20"/>
      <c r="F23" s="21"/>
      <c r="G23" s="22"/>
      <c r="H23" s="20"/>
      <c r="I23" s="24"/>
      <c r="J23" s="21"/>
      <c r="K23" s="24"/>
      <c r="L23" s="21"/>
      <c r="M23" s="9"/>
      <c r="N23" s="14"/>
      <c r="O23" s="14"/>
      <c r="P23" s="14"/>
      <c r="Q23" s="15"/>
      <c r="R23" s="11"/>
      <c r="S23" s="11"/>
      <c r="T23" s="11"/>
      <c r="U23" s="12"/>
    </row>
    <row r="24" spans="1:21" ht="15">
      <c r="A24" s="16"/>
      <c r="B24" s="25"/>
      <c r="C24" s="26"/>
      <c r="D24" s="27"/>
      <c r="E24" s="28"/>
      <c r="F24" s="241"/>
      <c r="G24" s="22"/>
      <c r="H24" s="20"/>
      <c r="I24" s="24"/>
      <c r="J24" s="30"/>
      <c r="K24" s="31"/>
      <c r="L24" s="241"/>
      <c r="M24" s="9"/>
      <c r="N24" s="14"/>
      <c r="O24" s="14"/>
      <c r="P24" s="14"/>
      <c r="Q24" s="14"/>
      <c r="R24" s="11"/>
      <c r="S24" s="11"/>
      <c r="T24" s="11"/>
      <c r="U24" s="12"/>
    </row>
    <row r="25" spans="1:21" ht="15">
      <c r="A25" s="16"/>
      <c r="B25" s="25"/>
      <c r="C25" s="26"/>
      <c r="D25" s="32"/>
      <c r="E25" s="33"/>
      <c r="F25" s="30"/>
      <c r="G25" s="22"/>
      <c r="H25" s="28"/>
      <c r="I25" s="24"/>
      <c r="J25" s="30"/>
      <c r="K25" s="31"/>
      <c r="L25" s="30"/>
      <c r="M25" s="9"/>
      <c r="N25" s="14"/>
      <c r="O25" s="14"/>
      <c r="P25" s="14"/>
      <c r="Q25" s="14"/>
      <c r="R25" s="11"/>
      <c r="S25" s="11"/>
      <c r="T25" s="11"/>
      <c r="U25" s="12"/>
    </row>
    <row r="26" spans="1:21" ht="15">
      <c r="A26" s="16"/>
      <c r="B26" s="25"/>
      <c r="C26" s="26"/>
      <c r="D26" s="19"/>
      <c r="E26" s="20"/>
      <c r="F26" s="21"/>
      <c r="G26" s="22"/>
      <c r="H26" s="20"/>
      <c r="I26" s="24"/>
      <c r="J26" s="21"/>
      <c r="K26" s="24"/>
      <c r="L26" s="21"/>
      <c r="M26" s="9"/>
      <c r="N26" s="14"/>
      <c r="O26" s="14"/>
      <c r="P26" s="14"/>
      <c r="Q26" s="14"/>
      <c r="R26" s="11"/>
      <c r="S26" s="11"/>
      <c r="T26" s="11"/>
      <c r="U26" s="12"/>
    </row>
    <row r="27" spans="1:21" ht="15">
      <c r="A27" s="16"/>
      <c r="B27" s="33"/>
      <c r="C27" s="34"/>
      <c r="D27" s="19"/>
      <c r="E27" s="20"/>
      <c r="F27" s="21"/>
      <c r="G27" s="22"/>
      <c r="H27" s="23"/>
      <c r="I27" s="24"/>
      <c r="J27" s="21"/>
      <c r="K27" s="24"/>
      <c r="L27" s="21"/>
      <c r="M27" s="9"/>
      <c r="N27" s="14"/>
      <c r="O27" s="14"/>
      <c r="P27" s="14"/>
      <c r="Q27" s="14"/>
      <c r="R27" s="11"/>
      <c r="S27" s="11"/>
      <c r="T27" s="11"/>
      <c r="U27" s="12"/>
    </row>
    <row r="28" spans="1:21" ht="15">
      <c r="A28" s="16"/>
      <c r="B28" s="33"/>
      <c r="C28" s="34"/>
      <c r="D28" s="19"/>
      <c r="E28" s="20"/>
      <c r="F28" s="21"/>
      <c r="G28" s="22"/>
      <c r="H28" s="20"/>
      <c r="I28" s="24"/>
      <c r="J28" s="21"/>
      <c r="K28" s="24"/>
      <c r="L28" s="21"/>
      <c r="M28" s="9"/>
      <c r="N28" s="14"/>
      <c r="O28" s="14"/>
      <c r="P28" s="14"/>
      <c r="Q28" s="14"/>
      <c r="R28" s="11"/>
      <c r="S28" s="11"/>
      <c r="T28" s="11"/>
      <c r="U28" s="12"/>
    </row>
    <row r="29" spans="1:21" ht="15">
      <c r="A29" s="16"/>
      <c r="B29" s="33"/>
      <c r="C29" s="34"/>
      <c r="D29" s="19"/>
      <c r="E29" s="20"/>
      <c r="F29" s="21"/>
      <c r="G29" s="22"/>
      <c r="H29" s="20"/>
      <c r="I29" s="24"/>
      <c r="J29" s="21"/>
      <c r="K29" s="24"/>
      <c r="L29" s="21"/>
      <c r="M29" s="9"/>
      <c r="N29" s="14"/>
      <c r="O29" s="14"/>
      <c r="P29" s="14"/>
      <c r="Q29" s="14"/>
      <c r="R29" s="11"/>
      <c r="S29" s="11"/>
      <c r="T29" s="11"/>
      <c r="U29" s="12"/>
    </row>
    <row r="30" spans="1:21" ht="15">
      <c r="A30" s="16"/>
      <c r="B30" s="33"/>
      <c r="C30" s="34"/>
      <c r="D30" s="19"/>
      <c r="E30" s="20"/>
      <c r="F30" s="21"/>
      <c r="G30" s="22"/>
      <c r="H30" s="20"/>
      <c r="I30" s="24"/>
      <c r="J30" s="21"/>
      <c r="K30" s="24"/>
      <c r="L30" s="21"/>
      <c r="M30" s="9"/>
      <c r="N30" s="14"/>
      <c r="O30" s="14"/>
      <c r="P30" s="14"/>
      <c r="Q30" s="14"/>
      <c r="R30" s="11"/>
      <c r="S30" s="11"/>
      <c r="T30" s="11"/>
      <c r="U30" s="12"/>
    </row>
    <row r="31" spans="1:21" ht="15">
      <c r="A31" s="16"/>
      <c r="B31" s="17"/>
      <c r="C31" s="18"/>
      <c r="D31" s="19"/>
      <c r="E31" s="20"/>
      <c r="F31" s="21"/>
      <c r="G31" s="22"/>
      <c r="H31" s="23"/>
      <c r="I31" s="24"/>
      <c r="J31" s="21"/>
      <c r="K31" s="24"/>
      <c r="L31" s="21"/>
      <c r="M31" s="9"/>
      <c r="N31" s="14"/>
      <c r="O31" s="14"/>
      <c r="P31" s="14"/>
      <c r="Q31" s="15"/>
      <c r="R31" s="11"/>
      <c r="S31" s="11"/>
      <c r="T31" s="11"/>
      <c r="U31" s="12"/>
    </row>
    <row r="32" spans="1:21" ht="15">
      <c r="A32" s="16"/>
      <c r="B32" s="17"/>
      <c r="C32" s="18"/>
      <c r="D32" s="19"/>
      <c r="E32" s="20"/>
      <c r="F32" s="21"/>
      <c r="G32" s="22"/>
      <c r="H32" s="23"/>
      <c r="I32" s="24"/>
      <c r="J32" s="21"/>
      <c r="K32" s="24"/>
      <c r="L32" s="21"/>
      <c r="M32" s="9"/>
      <c r="N32" s="14"/>
      <c r="O32" s="14"/>
      <c r="P32" s="14"/>
      <c r="Q32" s="14"/>
      <c r="R32" s="11"/>
      <c r="S32" s="11"/>
      <c r="T32" s="11"/>
      <c r="U32" s="12"/>
    </row>
    <row r="33" spans="1:21" ht="15">
      <c r="A33" s="16"/>
      <c r="B33" s="17"/>
      <c r="C33" s="18"/>
      <c r="D33" s="19"/>
      <c r="E33" s="20"/>
      <c r="F33" s="21"/>
      <c r="G33" s="22"/>
      <c r="H33" s="23"/>
      <c r="I33" s="24"/>
      <c r="J33" s="21"/>
      <c r="K33" s="24"/>
      <c r="L33" s="21"/>
      <c r="M33" s="9"/>
      <c r="N33" s="14"/>
      <c r="O33" s="14"/>
      <c r="P33" s="14"/>
      <c r="Q33" s="15"/>
      <c r="R33" s="11"/>
      <c r="S33" s="11"/>
      <c r="T33" s="11"/>
      <c r="U33" s="12"/>
    </row>
    <row r="34" spans="1:21" ht="15">
      <c r="A34" s="16"/>
      <c r="B34" s="17"/>
      <c r="C34" s="18"/>
      <c r="D34" s="19"/>
      <c r="E34" s="20"/>
      <c r="F34" s="21"/>
      <c r="G34" s="22"/>
      <c r="H34" s="23"/>
      <c r="I34" s="24"/>
      <c r="J34" s="21"/>
      <c r="K34" s="24"/>
      <c r="L34" s="21"/>
      <c r="M34" s="9"/>
      <c r="N34" s="14"/>
      <c r="O34" s="14"/>
      <c r="P34" s="14"/>
      <c r="Q34" s="14"/>
      <c r="R34" s="11"/>
      <c r="S34" s="11"/>
      <c r="T34" s="11"/>
      <c r="U34" s="12"/>
    </row>
    <row r="35" spans="1:21" ht="15">
      <c r="A35" s="16"/>
      <c r="B35" s="17"/>
      <c r="C35" s="18"/>
      <c r="D35" s="19"/>
      <c r="E35" s="20"/>
      <c r="F35" s="21"/>
      <c r="G35" s="22"/>
      <c r="H35" s="23"/>
      <c r="I35" s="24"/>
      <c r="J35" s="21"/>
      <c r="K35" s="24"/>
      <c r="L35" s="21"/>
      <c r="M35" s="9"/>
      <c r="N35" s="14"/>
      <c r="O35" s="14"/>
      <c r="P35" s="14"/>
      <c r="Q35" s="15"/>
      <c r="R35" s="11"/>
      <c r="S35" s="11"/>
      <c r="T35" s="11"/>
      <c r="U35" s="12"/>
    </row>
    <row r="36" spans="1:21" ht="15">
      <c r="A36" s="16"/>
      <c r="B36" s="17"/>
      <c r="C36" s="18"/>
      <c r="D36" s="19"/>
      <c r="E36" s="20"/>
      <c r="F36" s="21"/>
      <c r="G36" s="22"/>
      <c r="H36" s="23"/>
      <c r="I36" s="24"/>
      <c r="J36" s="21"/>
      <c r="K36" s="24"/>
      <c r="L36" s="21"/>
      <c r="M36" s="9" t="str">
        <f t="shared" ref="M36:M41" si="0">IF(F36*J36*L36=0,"",F36*J36*L36)</f>
        <v/>
      </c>
      <c r="N36" s="14"/>
      <c r="O36" s="14"/>
      <c r="P36" s="14"/>
      <c r="Q36" s="15"/>
      <c r="R36" s="11"/>
      <c r="S36" s="11"/>
      <c r="T36" s="11"/>
      <c r="U36" s="12" t="str">
        <f t="shared" ref="U36:U41" si="1">IF(R36*S36*T36=0,"",R36*S36*T36)</f>
        <v/>
      </c>
    </row>
    <row r="37" spans="1:21" ht="15">
      <c r="A37" s="16"/>
      <c r="B37" s="35"/>
      <c r="C37" s="18"/>
      <c r="D37" s="19"/>
      <c r="E37" s="20"/>
      <c r="F37" s="21"/>
      <c r="G37" s="22"/>
      <c r="H37" s="23"/>
      <c r="I37" s="24"/>
      <c r="J37" s="21"/>
      <c r="K37" s="24"/>
      <c r="L37" s="21"/>
      <c r="M37" s="9" t="str">
        <f t="shared" si="0"/>
        <v/>
      </c>
      <c r="N37" s="14"/>
      <c r="O37" s="14"/>
      <c r="P37" s="14"/>
      <c r="Q37" s="15"/>
      <c r="R37" s="11"/>
      <c r="S37" s="11"/>
      <c r="T37" s="11"/>
      <c r="U37" s="12" t="str">
        <f t="shared" si="1"/>
        <v/>
      </c>
    </row>
    <row r="38" spans="1:21" ht="15">
      <c r="A38" s="16"/>
      <c r="B38" s="35"/>
      <c r="C38" s="18"/>
      <c r="D38" s="19"/>
      <c r="E38" s="20"/>
      <c r="F38" s="21"/>
      <c r="G38" s="22"/>
      <c r="H38" s="23"/>
      <c r="I38" s="24"/>
      <c r="J38" s="21"/>
      <c r="K38" s="24"/>
      <c r="L38" s="21"/>
      <c r="M38" s="9" t="str">
        <f t="shared" si="0"/>
        <v/>
      </c>
      <c r="N38" s="14"/>
      <c r="O38" s="14"/>
      <c r="P38" s="14"/>
      <c r="Q38" s="15"/>
      <c r="R38" s="11"/>
      <c r="S38" s="11"/>
      <c r="T38" s="11"/>
      <c r="U38" s="12" t="str">
        <f t="shared" si="1"/>
        <v/>
      </c>
    </row>
    <row r="39" spans="1:21" ht="15">
      <c r="A39" s="36"/>
      <c r="B39" s="35"/>
      <c r="C39" s="18"/>
      <c r="D39" s="19"/>
      <c r="E39" s="20"/>
      <c r="F39" s="21"/>
      <c r="G39" s="22"/>
      <c r="H39" s="23"/>
      <c r="I39" s="24"/>
      <c r="J39" s="21"/>
      <c r="K39" s="24"/>
      <c r="L39" s="21"/>
      <c r="M39" s="9" t="str">
        <f t="shared" si="0"/>
        <v/>
      </c>
      <c r="N39" s="14"/>
      <c r="O39" s="14"/>
      <c r="P39" s="14"/>
      <c r="Q39" s="15"/>
      <c r="R39" s="11"/>
      <c r="S39" s="11"/>
      <c r="T39" s="11"/>
      <c r="U39" s="12" t="str">
        <f t="shared" si="1"/>
        <v/>
      </c>
    </row>
    <row r="40" spans="1:21" ht="15">
      <c r="A40" s="36"/>
      <c r="B40" s="35"/>
      <c r="C40" s="18"/>
      <c r="D40" s="19"/>
      <c r="E40" s="20"/>
      <c r="F40" s="21"/>
      <c r="G40" s="22"/>
      <c r="H40" s="20"/>
      <c r="I40" s="24"/>
      <c r="J40" s="21"/>
      <c r="K40" s="24"/>
      <c r="L40" s="21"/>
      <c r="M40" s="9" t="str">
        <f t="shared" si="0"/>
        <v/>
      </c>
      <c r="N40" s="14"/>
      <c r="O40" s="14"/>
      <c r="P40" s="14"/>
      <c r="Q40" s="15"/>
      <c r="R40" s="11"/>
      <c r="S40" s="11"/>
      <c r="T40" s="11"/>
      <c r="U40" s="12" t="str">
        <f t="shared" si="1"/>
        <v/>
      </c>
    </row>
    <row r="41" spans="1:21" ht="15.75" thickBot="1">
      <c r="A41" s="37"/>
      <c r="B41" s="38"/>
      <c r="C41" s="39"/>
      <c r="D41" s="40"/>
      <c r="E41" s="41"/>
      <c r="F41" s="42"/>
      <c r="G41" s="43"/>
      <c r="H41" s="44"/>
      <c r="I41" s="45"/>
      <c r="J41" s="42"/>
      <c r="K41" s="45"/>
      <c r="L41" s="42"/>
      <c r="M41" s="9" t="str">
        <f t="shared" si="0"/>
        <v/>
      </c>
      <c r="N41" s="46"/>
      <c r="O41" s="46"/>
      <c r="P41" s="46"/>
      <c r="Q41" s="47"/>
      <c r="R41" s="48"/>
      <c r="S41" s="48"/>
      <c r="T41" s="48"/>
      <c r="U41" s="12" t="str">
        <f t="shared" si="1"/>
        <v/>
      </c>
    </row>
  </sheetData>
  <mergeCells count="27">
    <mergeCell ref="P7:P8"/>
    <mergeCell ref="Q7:U7"/>
    <mergeCell ref="A2:U2"/>
    <mergeCell ref="A3:U3"/>
    <mergeCell ref="A4:B4"/>
    <mergeCell ref="C4:D4"/>
    <mergeCell ref="F4:M4"/>
    <mergeCell ref="O4:U4"/>
    <mergeCell ref="F7:F8"/>
    <mergeCell ref="A5:B5"/>
    <mergeCell ref="C5:D5"/>
    <mergeCell ref="F5:M5"/>
    <mergeCell ref="O5:U5"/>
    <mergeCell ref="A6:B6"/>
    <mergeCell ref="C6:M6"/>
    <mergeCell ref="R6:U6"/>
    <mergeCell ref="A7:A8"/>
    <mergeCell ref="B7:B8"/>
    <mergeCell ref="C7:C8"/>
    <mergeCell ref="D7:D8"/>
    <mergeCell ref="E7:E8"/>
    <mergeCell ref="G7:G8"/>
    <mergeCell ref="H7:H8"/>
    <mergeCell ref="I7:L7"/>
    <mergeCell ref="M7:M8"/>
    <mergeCell ref="N7:N8"/>
    <mergeCell ref="O7:O8"/>
  </mergeCells>
  <conditionalFormatting sqref="M9:M41">
    <cfRule type="cellIs" dxfId="98" priority="71" operator="greaterThan">
      <formula>100</formula>
    </cfRule>
  </conditionalFormatting>
  <conditionalFormatting sqref="U9:U41">
    <cfRule type="cellIs" dxfId="97" priority="70" operator="greaterThan">
      <formula>100</formula>
    </cfRule>
  </conditionalFormatting>
  <conditionalFormatting sqref="G10:G41">
    <cfRule type="cellIs" dxfId="96" priority="67" operator="equal">
      <formula>"VM"</formula>
    </cfRule>
    <cfRule type="cellIs" dxfId="95" priority="68" operator="equal">
      <formula>"vc"</formula>
    </cfRule>
    <cfRule type="cellIs" dxfId="94" priority="69" stopIfTrue="1" operator="equal">
      <formula>"vs"</formula>
    </cfRule>
  </conditionalFormatting>
  <conditionalFormatting sqref="G10:G41">
    <cfRule type="cellIs" dxfId="93" priority="66" operator="equal">
      <formula>"Std"</formula>
    </cfRule>
  </conditionalFormatting>
  <conditionalFormatting sqref="U22">
    <cfRule type="cellIs" dxfId="92" priority="59" operator="greaterThan">
      <formula>100</formula>
    </cfRule>
  </conditionalFormatting>
  <conditionalFormatting sqref="M9">
    <cfRule type="cellIs" dxfId="91" priority="58" operator="greaterThan">
      <formula>100</formula>
    </cfRule>
  </conditionalFormatting>
  <conditionalFormatting sqref="M9:M41 U9:U41">
    <cfRule type="cellIs" dxfId="90" priority="54" operator="lessThan">
      <formula>100</formula>
    </cfRule>
    <cfRule type="cellIs" dxfId="89" priority="55" operator="greaterThan">
      <formula>100</formula>
    </cfRule>
  </conditionalFormatting>
  <conditionalFormatting sqref="G9">
    <cfRule type="cellIs" dxfId="88" priority="50" stopIfTrue="1" operator="equal">
      <formula>"VM"</formula>
    </cfRule>
    <cfRule type="cellIs" dxfId="87" priority="51" stopIfTrue="1" operator="equal">
      <formula>"vc"</formula>
    </cfRule>
    <cfRule type="cellIs" dxfId="86" priority="52" stopIfTrue="1" operator="equal">
      <formula>"vs"</formula>
    </cfRule>
    <cfRule type="cellIs" dxfId="85" priority="53" stopIfTrue="1" operator="equal">
      <formula>"Std"</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7389D-D721-46EB-9F7B-83E6BAD6C241}">
  <sheetPr>
    <tabColor theme="4" tint="0.39997558519241921"/>
  </sheetPr>
  <dimension ref="A1:U16"/>
  <sheetViews>
    <sheetView topLeftCell="C1" zoomScaleNormal="100" zoomScaleSheetLayoutView="70" workbookViewId="0">
      <selection activeCell="N7" sqref="N7:P8"/>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79" t="s">
        <v>45</v>
      </c>
      <c r="B2" s="1080"/>
      <c r="C2" s="1080"/>
      <c r="D2" s="1080"/>
      <c r="E2" s="1080"/>
      <c r="F2" s="1080"/>
      <c r="G2" s="1080"/>
      <c r="H2" s="1080"/>
      <c r="I2" s="1080"/>
      <c r="J2" s="1080"/>
      <c r="K2" s="1080"/>
      <c r="L2" s="1080"/>
      <c r="M2" s="1080"/>
      <c r="N2" s="1080"/>
      <c r="O2" s="1080"/>
      <c r="P2" s="1123"/>
      <c r="Q2" s="1080"/>
      <c r="R2" s="1080"/>
      <c r="S2" s="1080"/>
      <c r="T2" s="1080"/>
      <c r="U2" s="1080"/>
    </row>
    <row r="3" spans="1:21" s="103" customFormat="1" ht="32.25" thickBot="1">
      <c r="A3" s="1081" t="s">
        <v>44</v>
      </c>
      <c r="B3" s="1082"/>
      <c r="C3" s="1082"/>
      <c r="D3" s="1082"/>
      <c r="E3" s="1082"/>
      <c r="F3" s="1082"/>
      <c r="G3" s="1082"/>
      <c r="H3" s="1082"/>
      <c r="I3" s="1082"/>
      <c r="J3" s="1082"/>
      <c r="K3" s="1082"/>
      <c r="L3" s="1082"/>
      <c r="M3" s="1082"/>
      <c r="N3" s="1082"/>
      <c r="O3" s="1082"/>
      <c r="P3" s="1082"/>
      <c r="Q3" s="1082"/>
      <c r="R3" s="1082"/>
      <c r="S3" s="1082"/>
      <c r="T3" s="1082"/>
      <c r="U3" s="1083"/>
    </row>
    <row r="4" spans="1:21" ht="15.75">
      <c r="A4" s="632" t="s">
        <v>2</v>
      </c>
      <c r="B4" s="633"/>
      <c r="C4" s="655"/>
      <c r="D4" s="655"/>
      <c r="E4" s="56" t="s">
        <v>32</v>
      </c>
      <c r="F4" s="656"/>
      <c r="G4" s="657"/>
      <c r="H4" s="657"/>
      <c r="I4" s="657"/>
      <c r="J4" s="657"/>
      <c r="K4" s="657"/>
      <c r="L4" s="657"/>
      <c r="M4" s="657"/>
      <c r="N4" s="57" t="s">
        <v>46</v>
      </c>
      <c r="O4" s="637"/>
      <c r="P4" s="637"/>
      <c r="Q4" s="637"/>
      <c r="R4" s="637"/>
      <c r="S4" s="637"/>
      <c r="T4" s="637"/>
      <c r="U4" s="638"/>
    </row>
    <row r="5" spans="1:21" ht="16.5" thickBot="1">
      <c r="A5" s="632" t="s">
        <v>5</v>
      </c>
      <c r="B5" s="633"/>
      <c r="C5" s="634"/>
      <c r="D5" s="634"/>
      <c r="E5" s="49" t="s">
        <v>6</v>
      </c>
      <c r="F5" s="635"/>
      <c r="G5" s="636"/>
      <c r="H5" s="636"/>
      <c r="I5" s="636"/>
      <c r="J5" s="636"/>
      <c r="K5" s="636"/>
      <c r="L5" s="636"/>
      <c r="M5" s="636"/>
      <c r="N5" s="50" t="s">
        <v>7</v>
      </c>
      <c r="O5" s="637"/>
      <c r="P5" s="637"/>
      <c r="Q5" s="637"/>
      <c r="R5" s="637"/>
      <c r="S5" s="637"/>
      <c r="T5" s="637"/>
      <c r="U5" s="638"/>
    </row>
    <row r="6" spans="1:21" ht="16.5" thickBot="1">
      <c r="A6" s="632" t="s">
        <v>8</v>
      </c>
      <c r="B6" s="633"/>
      <c r="C6" s="639"/>
      <c r="D6" s="640"/>
      <c r="E6" s="641"/>
      <c r="F6" s="640"/>
      <c r="G6" s="640"/>
      <c r="H6" s="640"/>
      <c r="I6" s="640"/>
      <c r="J6" s="640"/>
      <c r="K6" s="640"/>
      <c r="L6" s="640"/>
      <c r="M6" s="642"/>
      <c r="N6" s="51" t="s">
        <v>9</v>
      </c>
      <c r="O6" s="1"/>
      <c r="P6" s="1"/>
      <c r="Q6" s="2" t="s">
        <v>10</v>
      </c>
      <c r="R6" s="643"/>
      <c r="S6" s="644"/>
      <c r="T6" s="644"/>
      <c r="U6" s="645"/>
    </row>
    <row r="7" spans="1:21" ht="13.5" customHeight="1" thickBot="1">
      <c r="A7" s="646" t="s">
        <v>11</v>
      </c>
      <c r="B7" s="628" t="s">
        <v>31</v>
      </c>
      <c r="C7" s="628" t="s">
        <v>12</v>
      </c>
      <c r="D7" s="649" t="s">
        <v>13</v>
      </c>
      <c r="E7" s="651" t="s">
        <v>14</v>
      </c>
      <c r="F7" s="630" t="s">
        <v>15</v>
      </c>
      <c r="G7" s="630" t="s">
        <v>16</v>
      </c>
      <c r="H7" s="628" t="s">
        <v>17</v>
      </c>
      <c r="I7" s="622" t="s">
        <v>18</v>
      </c>
      <c r="J7" s="623"/>
      <c r="K7" s="624"/>
      <c r="L7" s="625"/>
      <c r="M7" s="626" t="s">
        <v>19</v>
      </c>
      <c r="N7" s="628" t="s">
        <v>20</v>
      </c>
      <c r="O7" s="628" t="s">
        <v>260</v>
      </c>
      <c r="P7" s="628" t="s">
        <v>175</v>
      </c>
      <c r="Q7" s="653" t="s">
        <v>21</v>
      </c>
      <c r="R7" s="653"/>
      <c r="S7" s="653"/>
      <c r="T7" s="653"/>
      <c r="U7" s="654"/>
    </row>
    <row r="8" spans="1:21" ht="59.25">
      <c r="A8" s="647"/>
      <c r="B8" s="648"/>
      <c r="C8" s="648"/>
      <c r="D8" s="650"/>
      <c r="E8" s="652"/>
      <c r="F8" s="631"/>
      <c r="G8" s="631"/>
      <c r="H8" s="652"/>
      <c r="I8" s="52" t="s">
        <v>22</v>
      </c>
      <c r="J8" s="55" t="s">
        <v>23</v>
      </c>
      <c r="K8" s="52" t="s">
        <v>24</v>
      </c>
      <c r="L8" s="53" t="s">
        <v>25</v>
      </c>
      <c r="M8" s="627"/>
      <c r="N8" s="629"/>
      <c r="O8" s="629"/>
      <c r="P8" s="629"/>
      <c r="Q8" s="52" t="s">
        <v>26</v>
      </c>
      <c r="R8" s="53" t="s">
        <v>15</v>
      </c>
      <c r="S8" s="53" t="s">
        <v>27</v>
      </c>
      <c r="T8" s="53" t="s">
        <v>25</v>
      </c>
      <c r="U8" s="54" t="s">
        <v>19</v>
      </c>
    </row>
    <row r="9" spans="1:21" ht="15">
      <c r="A9" s="16"/>
      <c r="B9" s="17"/>
      <c r="C9" s="18"/>
      <c r="D9" s="19"/>
      <c r="E9" s="20"/>
      <c r="F9" s="21"/>
      <c r="G9" s="22"/>
      <c r="H9" s="23"/>
      <c r="I9" s="24"/>
      <c r="J9" s="21"/>
      <c r="K9" s="24"/>
      <c r="L9" s="21"/>
      <c r="M9" s="9" t="str">
        <f t="shared" ref="M9:M16" si="0">IF(F9*J9*L9=0,"",F9*J9*L9)</f>
        <v/>
      </c>
      <c r="N9" s="14"/>
      <c r="O9" s="14"/>
      <c r="P9" s="14"/>
      <c r="Q9" s="14"/>
      <c r="R9" s="11"/>
      <c r="S9" s="11"/>
      <c r="T9" s="11"/>
      <c r="U9" s="12" t="str">
        <f t="shared" ref="U9:U16" si="1">IF(R9*S9*T9=0,"",R9*S9*T9)</f>
        <v/>
      </c>
    </row>
    <row r="10" spans="1:21" ht="15">
      <c r="A10" s="16"/>
      <c r="B10" s="17"/>
      <c r="C10" s="18"/>
      <c r="D10" s="19"/>
      <c r="E10" s="20"/>
      <c r="F10" s="21"/>
      <c r="G10" s="22"/>
      <c r="H10" s="23"/>
      <c r="I10" s="24"/>
      <c r="J10" s="21"/>
      <c r="K10" s="24"/>
      <c r="L10" s="21"/>
      <c r="M10" s="9" t="str">
        <f t="shared" si="0"/>
        <v/>
      </c>
      <c r="N10" s="14"/>
      <c r="O10" s="14"/>
      <c r="P10" s="14"/>
      <c r="Q10" s="15"/>
      <c r="R10" s="11"/>
      <c r="S10" s="11"/>
      <c r="T10" s="11"/>
      <c r="U10" s="12" t="str">
        <f t="shared" si="1"/>
        <v/>
      </c>
    </row>
    <row r="11" spans="1:21" ht="15">
      <c r="A11" s="16"/>
      <c r="B11" s="17"/>
      <c r="C11" s="18"/>
      <c r="D11" s="19"/>
      <c r="E11" s="20"/>
      <c r="F11" s="21"/>
      <c r="G11" s="22"/>
      <c r="H11" s="23"/>
      <c r="I11" s="24"/>
      <c r="J11" s="21"/>
      <c r="K11" s="24"/>
      <c r="L11" s="21"/>
      <c r="M11" s="9" t="str">
        <f t="shared" si="0"/>
        <v/>
      </c>
      <c r="N11" s="14"/>
      <c r="O11" s="14"/>
      <c r="P11" s="14"/>
      <c r="Q11" s="15"/>
      <c r="R11" s="11"/>
      <c r="S11" s="11"/>
      <c r="T11" s="11"/>
      <c r="U11" s="12" t="str">
        <f t="shared" si="1"/>
        <v/>
      </c>
    </row>
    <row r="12" spans="1:21" ht="15">
      <c r="A12" s="16"/>
      <c r="B12" s="35"/>
      <c r="C12" s="18"/>
      <c r="D12" s="19"/>
      <c r="E12" s="20"/>
      <c r="F12" s="21"/>
      <c r="G12" s="22"/>
      <c r="H12" s="23"/>
      <c r="I12" s="24"/>
      <c r="J12" s="21"/>
      <c r="K12" s="24"/>
      <c r="L12" s="21"/>
      <c r="M12" s="9" t="str">
        <f t="shared" si="0"/>
        <v/>
      </c>
      <c r="N12" s="14"/>
      <c r="O12" s="14"/>
      <c r="P12" s="14"/>
      <c r="Q12" s="15"/>
      <c r="R12" s="11"/>
      <c r="S12" s="11"/>
      <c r="T12" s="11"/>
      <c r="U12" s="12" t="str">
        <f t="shared" si="1"/>
        <v/>
      </c>
    </row>
    <row r="13" spans="1:21" ht="15">
      <c r="A13" s="16"/>
      <c r="B13" s="35"/>
      <c r="C13" s="18"/>
      <c r="D13" s="19"/>
      <c r="E13" s="20"/>
      <c r="F13" s="21"/>
      <c r="G13" s="22"/>
      <c r="H13" s="23"/>
      <c r="I13" s="24"/>
      <c r="J13" s="21"/>
      <c r="K13" s="24"/>
      <c r="L13" s="21"/>
      <c r="M13" s="9" t="str">
        <f t="shared" si="0"/>
        <v/>
      </c>
      <c r="N13" s="14"/>
      <c r="O13" s="14"/>
      <c r="P13" s="14"/>
      <c r="Q13" s="15"/>
      <c r="R13" s="11"/>
      <c r="S13" s="11"/>
      <c r="T13" s="11"/>
      <c r="U13" s="12" t="str">
        <f t="shared" si="1"/>
        <v/>
      </c>
    </row>
    <row r="14" spans="1:21" ht="15">
      <c r="A14" s="36"/>
      <c r="B14" s="35"/>
      <c r="C14" s="18"/>
      <c r="D14" s="19"/>
      <c r="E14" s="20"/>
      <c r="F14" s="21"/>
      <c r="G14" s="22"/>
      <c r="H14" s="23"/>
      <c r="I14" s="24"/>
      <c r="J14" s="21"/>
      <c r="K14" s="24"/>
      <c r="L14" s="21"/>
      <c r="M14" s="9" t="str">
        <f t="shared" si="0"/>
        <v/>
      </c>
      <c r="N14" s="14"/>
      <c r="O14" s="14"/>
      <c r="P14" s="14"/>
      <c r="Q14" s="15"/>
      <c r="R14" s="11"/>
      <c r="S14" s="11"/>
      <c r="T14" s="11"/>
      <c r="U14" s="12" t="str">
        <f t="shared" si="1"/>
        <v/>
      </c>
    </row>
    <row r="15" spans="1:21" ht="15">
      <c r="A15" s="36"/>
      <c r="B15" s="35"/>
      <c r="C15" s="18"/>
      <c r="D15" s="19"/>
      <c r="E15" s="20"/>
      <c r="F15" s="21"/>
      <c r="G15" s="22"/>
      <c r="H15" s="20"/>
      <c r="I15" s="24"/>
      <c r="J15" s="21"/>
      <c r="K15" s="24"/>
      <c r="L15" s="21"/>
      <c r="M15" s="9" t="str">
        <f t="shared" si="0"/>
        <v/>
      </c>
      <c r="N15" s="14"/>
      <c r="O15" s="14"/>
      <c r="P15" s="14"/>
      <c r="Q15" s="15"/>
      <c r="R15" s="11"/>
      <c r="S15" s="11"/>
      <c r="T15" s="11"/>
      <c r="U15" s="12" t="str">
        <f t="shared" si="1"/>
        <v/>
      </c>
    </row>
    <row r="16" spans="1:21" ht="15.75" thickBot="1">
      <c r="A16" s="37"/>
      <c r="B16" s="38"/>
      <c r="C16" s="39"/>
      <c r="D16" s="40"/>
      <c r="E16" s="41"/>
      <c r="F16" s="42"/>
      <c r="G16" s="43"/>
      <c r="H16" s="44"/>
      <c r="I16" s="45"/>
      <c r="J16" s="42"/>
      <c r="K16" s="45"/>
      <c r="L16" s="42"/>
      <c r="M16" s="9" t="str">
        <f t="shared" si="0"/>
        <v/>
      </c>
      <c r="N16" s="46"/>
      <c r="O16" s="46"/>
      <c r="P16" s="46"/>
      <c r="Q16" s="47"/>
      <c r="R16" s="48"/>
      <c r="S16" s="48"/>
      <c r="T16" s="48"/>
      <c r="U16" s="12" t="str">
        <f t="shared" si="1"/>
        <v/>
      </c>
    </row>
  </sheetData>
  <mergeCells count="27">
    <mergeCell ref="P7:P8"/>
    <mergeCell ref="A2:U2"/>
    <mergeCell ref="A3:U3"/>
    <mergeCell ref="A4:B4"/>
    <mergeCell ref="C4:D4"/>
    <mergeCell ref="F4:M4"/>
    <mergeCell ref="O4:U4"/>
    <mergeCell ref="F7:F8"/>
    <mergeCell ref="A5:B5"/>
    <mergeCell ref="C5:D5"/>
    <mergeCell ref="F5:M5"/>
    <mergeCell ref="O5:U5"/>
    <mergeCell ref="A6:B6"/>
    <mergeCell ref="C6:M6"/>
    <mergeCell ref="R6:U6"/>
    <mergeCell ref="A7:A8"/>
    <mergeCell ref="B7:B8"/>
    <mergeCell ref="C7:C8"/>
    <mergeCell ref="D7:D8"/>
    <mergeCell ref="E7:E8"/>
    <mergeCell ref="Q7:U7"/>
    <mergeCell ref="G7:G8"/>
    <mergeCell ref="H7:H8"/>
    <mergeCell ref="I7:L7"/>
    <mergeCell ref="M7:M8"/>
    <mergeCell ref="N7:N8"/>
    <mergeCell ref="O7:O8"/>
  </mergeCells>
  <conditionalFormatting sqref="M9:M16">
    <cfRule type="cellIs" dxfId="84" priority="71" operator="greaterThan">
      <formula>100</formula>
    </cfRule>
  </conditionalFormatting>
  <conditionalFormatting sqref="U9:U16">
    <cfRule type="cellIs" dxfId="83" priority="70" operator="greaterThan">
      <formula>100</formula>
    </cfRule>
  </conditionalFormatting>
  <conditionalFormatting sqref="G9:G16">
    <cfRule type="cellIs" dxfId="82" priority="67" operator="equal">
      <formula>"VM"</formula>
    </cfRule>
    <cfRule type="cellIs" dxfId="81" priority="68" operator="equal">
      <formula>"vc"</formula>
    </cfRule>
    <cfRule type="cellIs" dxfId="80" priority="69" stopIfTrue="1" operator="equal">
      <formula>"vs"</formula>
    </cfRule>
  </conditionalFormatting>
  <conditionalFormatting sqref="G9:G16">
    <cfRule type="cellIs" dxfId="79" priority="66" operator="equal">
      <formula>"Std"</formula>
    </cfRule>
  </conditionalFormatting>
  <conditionalFormatting sqref="M9:M16 U9:U16">
    <cfRule type="cellIs" dxfId="78" priority="54" operator="lessThan">
      <formula>100</formula>
    </cfRule>
    <cfRule type="cellIs" dxfId="77" priority="55" operator="greaterThan">
      <formula>100</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39997558519241921"/>
  </sheetPr>
  <dimension ref="A1:U16"/>
  <sheetViews>
    <sheetView topLeftCell="D1" zoomScaleNormal="100" zoomScaleSheetLayoutView="70" workbookViewId="0">
      <selection activeCell="P15" sqref="P15"/>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79" t="s">
        <v>0</v>
      </c>
      <c r="B2" s="1080"/>
      <c r="C2" s="1080"/>
      <c r="D2" s="1080"/>
      <c r="E2" s="1080"/>
      <c r="F2" s="1080"/>
      <c r="G2" s="1080"/>
      <c r="H2" s="1080"/>
      <c r="I2" s="1080"/>
      <c r="J2" s="1080"/>
      <c r="K2" s="1080"/>
      <c r="L2" s="1080"/>
      <c r="M2" s="1080"/>
      <c r="N2" s="1080"/>
      <c r="O2" s="1080"/>
      <c r="P2" s="1123"/>
      <c r="Q2" s="1080"/>
      <c r="R2" s="1080"/>
      <c r="S2" s="1080"/>
      <c r="T2" s="1080"/>
      <c r="U2" s="1080"/>
    </row>
    <row r="3" spans="1:21" s="103" customFormat="1" ht="32.25" thickBot="1">
      <c r="A3" s="1081" t="s">
        <v>1</v>
      </c>
      <c r="B3" s="1082"/>
      <c r="C3" s="1082"/>
      <c r="D3" s="1082"/>
      <c r="E3" s="1082"/>
      <c r="F3" s="1082"/>
      <c r="G3" s="1082"/>
      <c r="H3" s="1082"/>
      <c r="I3" s="1082"/>
      <c r="J3" s="1082"/>
      <c r="K3" s="1082"/>
      <c r="L3" s="1082"/>
      <c r="M3" s="1082"/>
      <c r="N3" s="1082"/>
      <c r="O3" s="1082"/>
      <c r="P3" s="1082"/>
      <c r="Q3" s="1082"/>
      <c r="R3" s="1082"/>
      <c r="S3" s="1082"/>
      <c r="T3" s="1082"/>
      <c r="U3" s="1083"/>
    </row>
    <row r="4" spans="1:21" ht="15.75">
      <c r="A4" s="632" t="s">
        <v>2</v>
      </c>
      <c r="B4" s="633"/>
      <c r="C4" s="655"/>
      <c r="D4" s="655"/>
      <c r="E4" s="56" t="s">
        <v>3</v>
      </c>
      <c r="F4" s="656"/>
      <c r="G4" s="657"/>
      <c r="H4" s="657"/>
      <c r="I4" s="657"/>
      <c r="J4" s="657"/>
      <c r="K4" s="657"/>
      <c r="L4" s="657"/>
      <c r="M4" s="657"/>
      <c r="N4" s="57" t="s">
        <v>4</v>
      </c>
      <c r="O4" s="637"/>
      <c r="P4" s="637"/>
      <c r="Q4" s="637"/>
      <c r="R4" s="637"/>
      <c r="S4" s="637"/>
      <c r="T4" s="637"/>
      <c r="U4" s="638"/>
    </row>
    <row r="5" spans="1:21" ht="16.5" thickBot="1">
      <c r="A5" s="632" t="s">
        <v>5</v>
      </c>
      <c r="B5" s="633"/>
      <c r="C5" s="634"/>
      <c r="D5" s="634"/>
      <c r="E5" s="49" t="s">
        <v>6</v>
      </c>
      <c r="F5" s="635"/>
      <c r="G5" s="636"/>
      <c r="H5" s="636"/>
      <c r="I5" s="636"/>
      <c r="J5" s="636"/>
      <c r="K5" s="636"/>
      <c r="L5" s="636"/>
      <c r="M5" s="636"/>
      <c r="N5" s="50" t="s">
        <v>7</v>
      </c>
      <c r="O5" s="637"/>
      <c r="P5" s="637"/>
      <c r="Q5" s="637"/>
      <c r="R5" s="637"/>
      <c r="S5" s="637"/>
      <c r="T5" s="637"/>
      <c r="U5" s="638"/>
    </row>
    <row r="6" spans="1:21" ht="16.5" thickBot="1">
      <c r="A6" s="632" t="s">
        <v>8</v>
      </c>
      <c r="B6" s="633"/>
      <c r="C6" s="639"/>
      <c r="D6" s="640"/>
      <c r="E6" s="641"/>
      <c r="F6" s="640"/>
      <c r="G6" s="640"/>
      <c r="H6" s="640"/>
      <c r="I6" s="640"/>
      <c r="J6" s="640"/>
      <c r="K6" s="640"/>
      <c r="L6" s="640"/>
      <c r="M6" s="642"/>
      <c r="N6" s="51" t="s">
        <v>9</v>
      </c>
      <c r="O6" s="1"/>
      <c r="P6" s="1"/>
      <c r="Q6" s="2" t="s">
        <v>10</v>
      </c>
      <c r="R6" s="643"/>
      <c r="S6" s="644"/>
      <c r="T6" s="644"/>
      <c r="U6" s="645"/>
    </row>
    <row r="7" spans="1:21" ht="13.5" customHeight="1" thickBot="1">
      <c r="A7" s="646" t="s">
        <v>11</v>
      </c>
      <c r="B7" s="628" t="s">
        <v>33</v>
      </c>
      <c r="C7" s="628" t="s">
        <v>12</v>
      </c>
      <c r="D7" s="649" t="s">
        <v>13</v>
      </c>
      <c r="E7" s="651" t="s">
        <v>14</v>
      </c>
      <c r="F7" s="630" t="s">
        <v>15</v>
      </c>
      <c r="G7" s="630" t="s">
        <v>16</v>
      </c>
      <c r="H7" s="628" t="s">
        <v>17</v>
      </c>
      <c r="I7" s="622" t="s">
        <v>18</v>
      </c>
      <c r="J7" s="623"/>
      <c r="K7" s="624"/>
      <c r="L7" s="625"/>
      <c r="M7" s="626" t="s">
        <v>19</v>
      </c>
      <c r="N7" s="628" t="s">
        <v>20</v>
      </c>
      <c r="O7" s="628" t="s">
        <v>260</v>
      </c>
      <c r="P7" s="628" t="s">
        <v>175</v>
      </c>
      <c r="Q7" s="653" t="s">
        <v>21</v>
      </c>
      <c r="R7" s="653"/>
      <c r="S7" s="653"/>
      <c r="T7" s="653"/>
      <c r="U7" s="654"/>
    </row>
    <row r="8" spans="1:21" ht="59.25">
      <c r="A8" s="647"/>
      <c r="B8" s="648"/>
      <c r="C8" s="648"/>
      <c r="D8" s="650"/>
      <c r="E8" s="652"/>
      <c r="F8" s="631"/>
      <c r="G8" s="631"/>
      <c r="H8" s="652"/>
      <c r="I8" s="52" t="s">
        <v>22</v>
      </c>
      <c r="J8" s="55" t="s">
        <v>23</v>
      </c>
      <c r="K8" s="52" t="s">
        <v>24</v>
      </c>
      <c r="L8" s="53" t="s">
        <v>25</v>
      </c>
      <c r="M8" s="627"/>
      <c r="N8" s="629"/>
      <c r="O8" s="629"/>
      <c r="P8" s="629"/>
      <c r="Q8" s="52" t="s">
        <v>26</v>
      </c>
      <c r="R8" s="53" t="s">
        <v>15</v>
      </c>
      <c r="S8" s="53" t="s">
        <v>27</v>
      </c>
      <c r="T8" s="53" t="s">
        <v>25</v>
      </c>
      <c r="U8" s="54" t="s">
        <v>19</v>
      </c>
    </row>
    <row r="9" spans="1:21" ht="15">
      <c r="A9" s="16"/>
      <c r="B9" s="17"/>
      <c r="C9" s="18"/>
      <c r="D9" s="19"/>
      <c r="E9" s="20"/>
      <c r="F9" s="21"/>
      <c r="G9" s="22"/>
      <c r="H9" s="23"/>
      <c r="I9" s="24"/>
      <c r="J9" s="21"/>
      <c r="K9" s="24"/>
      <c r="L9" s="21"/>
      <c r="M9" s="9" t="str">
        <f t="shared" ref="M9:M16" si="0">IF(F9*J9*L9=0,"",F9*J9*L9)</f>
        <v/>
      </c>
      <c r="N9" s="14"/>
      <c r="O9" s="14"/>
      <c r="P9" s="14"/>
      <c r="Q9" s="14"/>
      <c r="R9" s="11"/>
      <c r="S9" s="11"/>
      <c r="T9" s="11"/>
      <c r="U9" s="12" t="str">
        <f t="shared" ref="U9:U16" si="1">IF(R9*S9*T9=0,"",R9*S9*T9)</f>
        <v/>
      </c>
    </row>
    <row r="10" spans="1:21" ht="15">
      <c r="A10" s="16"/>
      <c r="B10" s="17"/>
      <c r="C10" s="18"/>
      <c r="D10" s="19"/>
      <c r="E10" s="20"/>
      <c r="F10" s="21"/>
      <c r="G10" s="22"/>
      <c r="H10" s="23"/>
      <c r="I10" s="24"/>
      <c r="J10" s="21"/>
      <c r="K10" s="24"/>
      <c r="L10" s="21"/>
      <c r="M10" s="9" t="str">
        <f t="shared" si="0"/>
        <v/>
      </c>
      <c r="N10" s="14"/>
      <c r="O10" s="14"/>
      <c r="P10" s="14"/>
      <c r="Q10" s="15"/>
      <c r="R10" s="11"/>
      <c r="S10" s="11"/>
      <c r="T10" s="11"/>
      <c r="U10" s="12" t="str">
        <f t="shared" si="1"/>
        <v/>
      </c>
    </row>
    <row r="11" spans="1:21" ht="15">
      <c r="A11" s="16"/>
      <c r="B11" s="17"/>
      <c r="C11" s="18"/>
      <c r="D11" s="19"/>
      <c r="E11" s="20"/>
      <c r="F11" s="21"/>
      <c r="G11" s="22"/>
      <c r="H11" s="23"/>
      <c r="I11" s="24"/>
      <c r="J11" s="21"/>
      <c r="K11" s="24"/>
      <c r="L11" s="21"/>
      <c r="M11" s="9" t="str">
        <f t="shared" si="0"/>
        <v/>
      </c>
      <c r="N11" s="14"/>
      <c r="O11" s="14"/>
      <c r="P11" s="14"/>
      <c r="Q11" s="15"/>
      <c r="R11" s="11"/>
      <c r="S11" s="11"/>
      <c r="T11" s="11"/>
      <c r="U11" s="12" t="str">
        <f t="shared" si="1"/>
        <v/>
      </c>
    </row>
    <row r="12" spans="1:21" ht="15">
      <c r="A12" s="16"/>
      <c r="B12" s="35"/>
      <c r="C12" s="18"/>
      <c r="D12" s="19"/>
      <c r="E12" s="20"/>
      <c r="F12" s="21"/>
      <c r="G12" s="22"/>
      <c r="H12" s="23"/>
      <c r="I12" s="24"/>
      <c r="J12" s="21"/>
      <c r="K12" s="24"/>
      <c r="L12" s="21"/>
      <c r="M12" s="9" t="str">
        <f t="shared" si="0"/>
        <v/>
      </c>
      <c r="N12" s="14"/>
      <c r="O12" s="14"/>
      <c r="P12" s="14"/>
      <c r="Q12" s="15"/>
      <c r="R12" s="11"/>
      <c r="S12" s="11"/>
      <c r="T12" s="11"/>
      <c r="U12" s="12" t="str">
        <f t="shared" si="1"/>
        <v/>
      </c>
    </row>
    <row r="13" spans="1:21" ht="15">
      <c r="A13" s="16"/>
      <c r="B13" s="35"/>
      <c r="C13" s="18"/>
      <c r="D13" s="19"/>
      <c r="E13" s="20"/>
      <c r="F13" s="21"/>
      <c r="G13" s="22"/>
      <c r="H13" s="23"/>
      <c r="I13" s="24"/>
      <c r="J13" s="21"/>
      <c r="K13" s="24"/>
      <c r="L13" s="21"/>
      <c r="M13" s="9" t="str">
        <f t="shared" si="0"/>
        <v/>
      </c>
      <c r="N13" s="14"/>
      <c r="O13" s="14"/>
      <c r="P13" s="14"/>
      <c r="Q13" s="15"/>
      <c r="R13" s="11"/>
      <c r="S13" s="11"/>
      <c r="T13" s="11"/>
      <c r="U13" s="12" t="str">
        <f t="shared" si="1"/>
        <v/>
      </c>
    </row>
    <row r="14" spans="1:21" ht="15">
      <c r="A14" s="36"/>
      <c r="B14" s="35"/>
      <c r="C14" s="18"/>
      <c r="D14" s="19"/>
      <c r="E14" s="20"/>
      <c r="F14" s="21"/>
      <c r="G14" s="22"/>
      <c r="H14" s="23"/>
      <c r="I14" s="24"/>
      <c r="J14" s="21"/>
      <c r="K14" s="24"/>
      <c r="L14" s="21"/>
      <c r="M14" s="9" t="str">
        <f t="shared" si="0"/>
        <v/>
      </c>
      <c r="N14" s="14"/>
      <c r="O14" s="14"/>
      <c r="P14" s="14"/>
      <c r="Q14" s="15"/>
      <c r="R14" s="11"/>
      <c r="S14" s="11"/>
      <c r="T14" s="11"/>
      <c r="U14" s="12" t="str">
        <f t="shared" si="1"/>
        <v/>
      </c>
    </row>
    <row r="15" spans="1:21" ht="15">
      <c r="A15" s="36"/>
      <c r="B15" s="35"/>
      <c r="C15" s="18"/>
      <c r="D15" s="19"/>
      <c r="E15" s="20"/>
      <c r="F15" s="21"/>
      <c r="G15" s="22"/>
      <c r="H15" s="20"/>
      <c r="I15" s="24"/>
      <c r="J15" s="21"/>
      <c r="K15" s="24"/>
      <c r="L15" s="21"/>
      <c r="M15" s="9" t="str">
        <f t="shared" si="0"/>
        <v/>
      </c>
      <c r="N15" s="14"/>
      <c r="O15" s="14"/>
      <c r="P15" s="14"/>
      <c r="Q15" s="15"/>
      <c r="R15" s="11"/>
      <c r="S15" s="11"/>
      <c r="T15" s="11"/>
      <c r="U15" s="12" t="str">
        <f t="shared" si="1"/>
        <v/>
      </c>
    </row>
    <row r="16" spans="1:21" ht="15.75" thickBot="1">
      <c r="A16" s="37"/>
      <c r="B16" s="38"/>
      <c r="C16" s="39"/>
      <c r="D16" s="40"/>
      <c r="E16" s="41"/>
      <c r="F16" s="42"/>
      <c r="G16" s="43"/>
      <c r="H16" s="44"/>
      <c r="I16" s="45"/>
      <c r="J16" s="42"/>
      <c r="K16" s="45"/>
      <c r="L16" s="42"/>
      <c r="M16" s="9" t="str">
        <f t="shared" si="0"/>
        <v/>
      </c>
      <c r="N16" s="46"/>
      <c r="O16" s="46"/>
      <c r="P16" s="46"/>
      <c r="Q16" s="47"/>
      <c r="R16" s="48"/>
      <c r="S16" s="48"/>
      <c r="T16" s="48"/>
      <c r="U16" s="12" t="str">
        <f t="shared" si="1"/>
        <v/>
      </c>
    </row>
  </sheetData>
  <mergeCells count="27">
    <mergeCell ref="P7:P8"/>
    <mergeCell ref="I7:L7"/>
    <mergeCell ref="M7:M8"/>
    <mergeCell ref="N7:N8"/>
    <mergeCell ref="O7:O8"/>
    <mergeCell ref="F7:F8"/>
    <mergeCell ref="A5:B5"/>
    <mergeCell ref="C5:D5"/>
    <mergeCell ref="F5:M5"/>
    <mergeCell ref="O5:U5"/>
    <mergeCell ref="A6:B6"/>
    <mergeCell ref="C6:M6"/>
    <mergeCell ref="R6:U6"/>
    <mergeCell ref="A7:A8"/>
    <mergeCell ref="B7:B8"/>
    <mergeCell ref="C7:C8"/>
    <mergeCell ref="D7:D8"/>
    <mergeCell ref="E7:E8"/>
    <mergeCell ref="Q7:U7"/>
    <mergeCell ref="G7:G8"/>
    <mergeCell ref="H7:H8"/>
    <mergeCell ref="A2:U2"/>
    <mergeCell ref="A3:U3"/>
    <mergeCell ref="A4:B4"/>
    <mergeCell ref="C4:D4"/>
    <mergeCell ref="F4:M4"/>
    <mergeCell ref="O4:U4"/>
  </mergeCells>
  <conditionalFormatting sqref="M9:M16">
    <cfRule type="cellIs" dxfId="76" priority="71" operator="greaterThan">
      <formula>100</formula>
    </cfRule>
  </conditionalFormatting>
  <conditionalFormatting sqref="U9:U16">
    <cfRule type="cellIs" dxfId="75" priority="70" operator="greaterThan">
      <formula>100</formula>
    </cfRule>
  </conditionalFormatting>
  <conditionalFormatting sqref="G9:G16">
    <cfRule type="cellIs" dxfId="74" priority="67" operator="equal">
      <formula>"VM"</formula>
    </cfRule>
    <cfRule type="cellIs" dxfId="73" priority="68" operator="equal">
      <formula>"vc"</formula>
    </cfRule>
    <cfRule type="cellIs" dxfId="72" priority="69" stopIfTrue="1" operator="equal">
      <formula>"vs"</formula>
    </cfRule>
  </conditionalFormatting>
  <conditionalFormatting sqref="G9:G16">
    <cfRule type="cellIs" dxfId="71" priority="66" operator="equal">
      <formula>"Std"</formula>
    </cfRule>
  </conditionalFormatting>
  <conditionalFormatting sqref="M9:M16 U9:U16">
    <cfRule type="cellIs" dxfId="70" priority="54" operator="lessThan">
      <formula>100</formula>
    </cfRule>
    <cfRule type="cellIs" dxfId="69" priority="55" operator="greaterThan">
      <formula>100</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66A78-07AF-4F53-A10C-427ED42F7CC2}">
  <sheetPr>
    <tabColor theme="4" tint="0.39997558519241921"/>
  </sheetPr>
  <dimension ref="A1:U18"/>
  <sheetViews>
    <sheetView zoomScaleNormal="100" zoomScaleSheetLayoutView="70" workbookViewId="0">
      <selection activeCell="E12" sqref="E12"/>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79" t="s">
        <v>28</v>
      </c>
      <c r="B2" s="1080"/>
      <c r="C2" s="1080"/>
      <c r="D2" s="1080"/>
      <c r="E2" s="1080"/>
      <c r="F2" s="1080"/>
      <c r="G2" s="1080"/>
      <c r="H2" s="1080"/>
      <c r="I2" s="1080"/>
      <c r="J2" s="1080"/>
      <c r="K2" s="1080"/>
      <c r="L2" s="1080"/>
      <c r="M2" s="1080"/>
      <c r="N2" s="1080"/>
      <c r="O2" s="1080"/>
      <c r="P2" s="1123"/>
      <c r="Q2" s="1080"/>
      <c r="R2" s="1080"/>
      <c r="S2" s="1080"/>
      <c r="T2" s="1080"/>
      <c r="U2" s="1080"/>
    </row>
    <row r="3" spans="1:21" s="103" customFormat="1" ht="32.25" thickBot="1">
      <c r="A3" s="1081" t="s">
        <v>29</v>
      </c>
      <c r="B3" s="1082"/>
      <c r="C3" s="1082"/>
      <c r="D3" s="1082"/>
      <c r="E3" s="1082"/>
      <c r="F3" s="1082"/>
      <c r="G3" s="1082"/>
      <c r="H3" s="1082"/>
      <c r="I3" s="1082"/>
      <c r="J3" s="1082"/>
      <c r="K3" s="1082"/>
      <c r="L3" s="1082"/>
      <c r="M3" s="1082"/>
      <c r="N3" s="1082"/>
      <c r="O3" s="1082"/>
      <c r="P3" s="1082"/>
      <c r="Q3" s="1082"/>
      <c r="R3" s="1082"/>
      <c r="S3" s="1082"/>
      <c r="T3" s="1082"/>
      <c r="U3" s="1083"/>
    </row>
    <row r="4" spans="1:21" ht="15.75">
      <c r="A4" s="632" t="s">
        <v>2</v>
      </c>
      <c r="B4" s="633"/>
      <c r="C4" s="655"/>
      <c r="D4" s="655"/>
      <c r="E4" s="56" t="s">
        <v>37</v>
      </c>
      <c r="F4" s="656"/>
      <c r="G4" s="657"/>
      <c r="H4" s="657"/>
      <c r="I4" s="657"/>
      <c r="J4" s="657"/>
      <c r="K4" s="657"/>
      <c r="L4" s="657"/>
      <c r="M4" s="657"/>
      <c r="N4" s="57" t="s">
        <v>38</v>
      </c>
      <c r="O4" s="637"/>
      <c r="P4" s="637"/>
      <c r="Q4" s="637"/>
      <c r="R4" s="637"/>
      <c r="S4" s="637"/>
      <c r="T4" s="637"/>
      <c r="U4" s="638"/>
    </row>
    <row r="5" spans="1:21" ht="16.5" thickBot="1">
      <c r="A5" s="632" t="s">
        <v>5</v>
      </c>
      <c r="B5" s="633"/>
      <c r="C5" s="634"/>
      <c r="D5" s="634"/>
      <c r="E5" s="49" t="s">
        <v>6</v>
      </c>
      <c r="F5" s="635"/>
      <c r="G5" s="636"/>
      <c r="H5" s="636"/>
      <c r="I5" s="636"/>
      <c r="J5" s="636"/>
      <c r="K5" s="636"/>
      <c r="L5" s="636"/>
      <c r="M5" s="636"/>
      <c r="N5" s="50" t="s">
        <v>7</v>
      </c>
      <c r="O5" s="637"/>
      <c r="P5" s="637"/>
      <c r="Q5" s="637"/>
      <c r="R5" s="637"/>
      <c r="S5" s="637"/>
      <c r="T5" s="637"/>
      <c r="U5" s="638"/>
    </row>
    <row r="6" spans="1:21" ht="16.5" thickBot="1">
      <c r="A6" s="632" t="s">
        <v>8</v>
      </c>
      <c r="B6" s="633"/>
      <c r="C6" s="639"/>
      <c r="D6" s="640"/>
      <c r="E6" s="641"/>
      <c r="F6" s="640"/>
      <c r="G6" s="640"/>
      <c r="H6" s="640"/>
      <c r="I6" s="640"/>
      <c r="J6" s="640"/>
      <c r="K6" s="640"/>
      <c r="L6" s="640"/>
      <c r="M6" s="642"/>
      <c r="N6" s="51" t="s">
        <v>9</v>
      </c>
      <c r="O6" s="1"/>
      <c r="P6" s="1"/>
      <c r="Q6" s="2" t="s">
        <v>10</v>
      </c>
      <c r="R6" s="643"/>
      <c r="S6" s="644"/>
      <c r="T6" s="644"/>
      <c r="U6" s="645"/>
    </row>
    <row r="7" spans="1:21" ht="13.5" customHeight="1" thickBot="1">
      <c r="A7" s="646" t="s">
        <v>11</v>
      </c>
      <c r="B7" s="628" t="s">
        <v>34</v>
      </c>
      <c r="C7" s="628" t="s">
        <v>12</v>
      </c>
      <c r="D7" s="649" t="s">
        <v>13</v>
      </c>
      <c r="E7" s="651" t="s">
        <v>14</v>
      </c>
      <c r="F7" s="630" t="s">
        <v>15</v>
      </c>
      <c r="G7" s="630" t="s">
        <v>16</v>
      </c>
      <c r="H7" s="628" t="s">
        <v>17</v>
      </c>
      <c r="I7" s="622" t="s">
        <v>18</v>
      </c>
      <c r="J7" s="623"/>
      <c r="K7" s="624"/>
      <c r="L7" s="625"/>
      <c r="M7" s="626" t="s">
        <v>19</v>
      </c>
      <c r="N7" s="628" t="s">
        <v>20</v>
      </c>
      <c r="O7" s="628" t="s">
        <v>260</v>
      </c>
      <c r="P7" s="628" t="s">
        <v>175</v>
      </c>
      <c r="Q7" s="653" t="s">
        <v>21</v>
      </c>
      <c r="R7" s="653"/>
      <c r="S7" s="653"/>
      <c r="T7" s="653"/>
      <c r="U7" s="654"/>
    </row>
    <row r="8" spans="1:21" ht="59.25">
      <c r="A8" s="647"/>
      <c r="B8" s="648"/>
      <c r="C8" s="648"/>
      <c r="D8" s="650"/>
      <c r="E8" s="652"/>
      <c r="F8" s="631"/>
      <c r="G8" s="631"/>
      <c r="H8" s="652"/>
      <c r="I8" s="52" t="s">
        <v>22</v>
      </c>
      <c r="J8" s="55" t="s">
        <v>23</v>
      </c>
      <c r="K8" s="52" t="s">
        <v>24</v>
      </c>
      <c r="L8" s="53" t="s">
        <v>25</v>
      </c>
      <c r="M8" s="627"/>
      <c r="N8" s="629"/>
      <c r="O8" s="629"/>
      <c r="P8" s="629"/>
      <c r="Q8" s="52" t="s">
        <v>26</v>
      </c>
      <c r="R8" s="53" t="s">
        <v>15</v>
      </c>
      <c r="S8" s="53" t="s">
        <v>27</v>
      </c>
      <c r="T8" s="53" t="s">
        <v>25</v>
      </c>
      <c r="U8" s="54" t="s">
        <v>19</v>
      </c>
    </row>
    <row r="9" spans="1:21" ht="15">
      <c r="A9" s="16"/>
      <c r="B9" s="17"/>
      <c r="C9" s="18"/>
      <c r="D9" s="19"/>
      <c r="E9" s="20"/>
      <c r="F9" s="21"/>
      <c r="G9" s="22"/>
      <c r="H9" s="23"/>
      <c r="I9" s="24"/>
      <c r="J9" s="21"/>
      <c r="K9" s="24"/>
      <c r="L9" s="21"/>
      <c r="M9" s="9" t="str">
        <f t="shared" ref="M9:M18" si="0">IF(F9*J9*L9=0,"",F9*J9*L9)</f>
        <v/>
      </c>
      <c r="N9" s="14"/>
      <c r="O9" s="14"/>
      <c r="P9" s="14"/>
      <c r="Q9" s="14"/>
      <c r="R9" s="11"/>
      <c r="S9" s="11"/>
      <c r="T9" s="11"/>
      <c r="U9" s="12" t="str">
        <f t="shared" ref="U9:U18" si="1">IF(R9*S9*T9=0,"",R9*S9*T9)</f>
        <v/>
      </c>
    </row>
    <row r="10" spans="1:21" ht="15">
      <c r="A10" s="16"/>
      <c r="B10" s="17"/>
      <c r="C10" s="18"/>
      <c r="D10" s="19"/>
      <c r="E10" s="20"/>
      <c r="F10" s="21"/>
      <c r="G10" s="22"/>
      <c r="H10" s="23"/>
      <c r="I10" s="24"/>
      <c r="J10" s="21"/>
      <c r="K10" s="24"/>
      <c r="L10" s="21"/>
      <c r="M10" s="9" t="str">
        <f t="shared" si="0"/>
        <v/>
      </c>
      <c r="N10" s="14"/>
      <c r="O10" s="14"/>
      <c r="P10" s="14"/>
      <c r="Q10" s="15"/>
      <c r="R10" s="11"/>
      <c r="S10" s="11"/>
      <c r="T10" s="11"/>
      <c r="U10" s="12" t="str">
        <f t="shared" si="1"/>
        <v/>
      </c>
    </row>
    <row r="11" spans="1:21" ht="15">
      <c r="A11" s="16"/>
      <c r="B11" s="17"/>
      <c r="C11" s="18"/>
      <c r="D11" s="19"/>
      <c r="E11" s="20"/>
      <c r="F11" s="21"/>
      <c r="G11" s="22"/>
      <c r="H11" s="23"/>
      <c r="I11" s="24"/>
      <c r="J11" s="21"/>
      <c r="K11" s="24"/>
      <c r="L11" s="21"/>
      <c r="M11" s="9" t="str">
        <f t="shared" si="0"/>
        <v/>
      </c>
      <c r="N11" s="14"/>
      <c r="O11" s="14"/>
      <c r="P11" s="14"/>
      <c r="Q11" s="14"/>
      <c r="R11" s="11"/>
      <c r="S11" s="11"/>
      <c r="T11" s="11"/>
      <c r="U11" s="12" t="str">
        <f t="shared" si="1"/>
        <v/>
      </c>
    </row>
    <row r="12" spans="1:21" ht="15">
      <c r="A12" s="16"/>
      <c r="B12" s="17"/>
      <c r="C12" s="18"/>
      <c r="D12" s="19"/>
      <c r="E12" s="20"/>
      <c r="F12" s="21"/>
      <c r="G12" s="22"/>
      <c r="H12" s="23"/>
      <c r="I12" s="24"/>
      <c r="J12" s="21"/>
      <c r="K12" s="24"/>
      <c r="L12" s="21"/>
      <c r="M12" s="9" t="str">
        <f t="shared" si="0"/>
        <v/>
      </c>
      <c r="N12" s="14"/>
      <c r="O12" s="14"/>
      <c r="P12" s="14"/>
      <c r="Q12" s="15"/>
      <c r="R12" s="11"/>
      <c r="S12" s="11"/>
      <c r="T12" s="11"/>
      <c r="U12" s="12" t="str">
        <f t="shared" si="1"/>
        <v/>
      </c>
    </row>
    <row r="13" spans="1:21" ht="15">
      <c r="A13" s="16"/>
      <c r="B13" s="17"/>
      <c r="C13" s="18"/>
      <c r="D13" s="19"/>
      <c r="E13" s="20"/>
      <c r="F13" s="21"/>
      <c r="G13" s="22"/>
      <c r="H13" s="23"/>
      <c r="I13" s="24"/>
      <c r="J13" s="21"/>
      <c r="K13" s="24"/>
      <c r="L13" s="21"/>
      <c r="M13" s="9" t="str">
        <f t="shared" si="0"/>
        <v/>
      </c>
      <c r="N13" s="14"/>
      <c r="O13" s="14"/>
      <c r="P13" s="14"/>
      <c r="Q13" s="15"/>
      <c r="R13" s="11"/>
      <c r="S13" s="11"/>
      <c r="T13" s="11"/>
      <c r="U13" s="12" t="str">
        <f t="shared" si="1"/>
        <v/>
      </c>
    </row>
    <row r="14" spans="1:21" ht="15">
      <c r="A14" s="16"/>
      <c r="B14" s="35"/>
      <c r="C14" s="18"/>
      <c r="D14" s="19"/>
      <c r="E14" s="20"/>
      <c r="F14" s="21"/>
      <c r="G14" s="22"/>
      <c r="H14" s="23"/>
      <c r="I14" s="24"/>
      <c r="J14" s="21"/>
      <c r="K14" s="24"/>
      <c r="L14" s="21"/>
      <c r="M14" s="9" t="str">
        <f t="shared" si="0"/>
        <v/>
      </c>
      <c r="N14" s="14"/>
      <c r="O14" s="14"/>
      <c r="P14" s="14"/>
      <c r="Q14" s="15"/>
      <c r="R14" s="11"/>
      <c r="S14" s="11"/>
      <c r="T14" s="11"/>
      <c r="U14" s="12" t="str">
        <f t="shared" si="1"/>
        <v/>
      </c>
    </row>
    <row r="15" spans="1:21" ht="15">
      <c r="A15" s="16"/>
      <c r="B15" s="35"/>
      <c r="C15" s="18"/>
      <c r="D15" s="19"/>
      <c r="E15" s="20"/>
      <c r="F15" s="21"/>
      <c r="G15" s="22"/>
      <c r="H15" s="23"/>
      <c r="I15" s="24"/>
      <c r="J15" s="21"/>
      <c r="K15" s="24"/>
      <c r="L15" s="21"/>
      <c r="M15" s="9" t="str">
        <f t="shared" si="0"/>
        <v/>
      </c>
      <c r="N15" s="14"/>
      <c r="O15" s="14"/>
      <c r="P15" s="14"/>
      <c r="Q15" s="15"/>
      <c r="R15" s="11"/>
      <c r="S15" s="11"/>
      <c r="T15" s="11"/>
      <c r="U15" s="12" t="str">
        <f t="shared" si="1"/>
        <v/>
      </c>
    </row>
    <row r="16" spans="1:21" ht="15">
      <c r="A16" s="36"/>
      <c r="B16" s="35"/>
      <c r="C16" s="18"/>
      <c r="D16" s="19"/>
      <c r="E16" s="20"/>
      <c r="F16" s="21"/>
      <c r="G16" s="22"/>
      <c r="H16" s="23"/>
      <c r="I16" s="24"/>
      <c r="J16" s="21"/>
      <c r="K16" s="24"/>
      <c r="L16" s="21"/>
      <c r="M16" s="9" t="str">
        <f t="shared" si="0"/>
        <v/>
      </c>
      <c r="N16" s="14"/>
      <c r="O16" s="14"/>
      <c r="P16" s="14"/>
      <c r="Q16" s="15"/>
      <c r="R16" s="11"/>
      <c r="S16" s="11"/>
      <c r="T16" s="11"/>
      <c r="U16" s="12" t="str">
        <f t="shared" si="1"/>
        <v/>
      </c>
    </row>
    <row r="17" spans="1:21" ht="15">
      <c r="A17" s="36"/>
      <c r="B17" s="35"/>
      <c r="C17" s="18"/>
      <c r="D17" s="19"/>
      <c r="E17" s="20"/>
      <c r="F17" s="21"/>
      <c r="G17" s="22"/>
      <c r="H17" s="20"/>
      <c r="I17" s="24"/>
      <c r="J17" s="21"/>
      <c r="K17" s="24"/>
      <c r="L17" s="21"/>
      <c r="M17" s="9" t="str">
        <f t="shared" si="0"/>
        <v/>
      </c>
      <c r="N17" s="14"/>
      <c r="O17" s="14"/>
      <c r="P17" s="14"/>
      <c r="Q17" s="15"/>
      <c r="R17" s="11"/>
      <c r="S17" s="11"/>
      <c r="T17" s="11"/>
      <c r="U17" s="12" t="str">
        <f t="shared" si="1"/>
        <v/>
      </c>
    </row>
    <row r="18" spans="1:21" ht="15.75" thickBot="1">
      <c r="A18" s="37"/>
      <c r="B18" s="38"/>
      <c r="C18" s="39"/>
      <c r="D18" s="40"/>
      <c r="E18" s="41"/>
      <c r="F18" s="42"/>
      <c r="G18" s="43"/>
      <c r="H18" s="44"/>
      <c r="I18" s="45"/>
      <c r="J18" s="42"/>
      <c r="K18" s="45"/>
      <c r="L18" s="42"/>
      <c r="M18" s="9" t="str">
        <f t="shared" si="0"/>
        <v/>
      </c>
      <c r="N18" s="46"/>
      <c r="O18" s="46"/>
      <c r="P18" s="46"/>
      <c r="Q18" s="47"/>
      <c r="R18" s="48"/>
      <c r="S18" s="48"/>
      <c r="T18" s="48"/>
      <c r="U18" s="12" t="str">
        <f t="shared" si="1"/>
        <v/>
      </c>
    </row>
  </sheetData>
  <mergeCells count="27">
    <mergeCell ref="P7:P8"/>
    <mergeCell ref="A2:U2"/>
    <mergeCell ref="A3:U3"/>
    <mergeCell ref="A4:B4"/>
    <mergeCell ref="C4:D4"/>
    <mergeCell ref="F4:M4"/>
    <mergeCell ref="O4:U4"/>
    <mergeCell ref="F7:F8"/>
    <mergeCell ref="A5:B5"/>
    <mergeCell ref="C5:D5"/>
    <mergeCell ref="F5:M5"/>
    <mergeCell ref="O5:U5"/>
    <mergeCell ref="A6:B6"/>
    <mergeCell ref="C6:M6"/>
    <mergeCell ref="R6:U6"/>
    <mergeCell ref="A7:A8"/>
    <mergeCell ref="B7:B8"/>
    <mergeCell ref="C7:C8"/>
    <mergeCell ref="D7:D8"/>
    <mergeCell ref="E7:E8"/>
    <mergeCell ref="Q7:U7"/>
    <mergeCell ref="G7:G8"/>
    <mergeCell ref="H7:H8"/>
    <mergeCell ref="I7:L7"/>
    <mergeCell ref="M7:M8"/>
    <mergeCell ref="N7:N8"/>
    <mergeCell ref="O7:O8"/>
  </mergeCells>
  <conditionalFormatting sqref="M9:M18">
    <cfRule type="cellIs" dxfId="68" priority="71" operator="greaterThan">
      <formula>100</formula>
    </cfRule>
  </conditionalFormatting>
  <conditionalFormatting sqref="U9:U18">
    <cfRule type="cellIs" dxfId="67" priority="70" operator="greaterThan">
      <formula>100</formula>
    </cfRule>
  </conditionalFormatting>
  <conditionalFormatting sqref="G9:G18">
    <cfRule type="cellIs" dxfId="66" priority="67" operator="equal">
      <formula>"VM"</formula>
    </cfRule>
    <cfRule type="cellIs" dxfId="65" priority="68" operator="equal">
      <formula>"vc"</formula>
    </cfRule>
    <cfRule type="cellIs" dxfId="64" priority="69" stopIfTrue="1" operator="equal">
      <formula>"vs"</formula>
    </cfRule>
  </conditionalFormatting>
  <conditionalFormatting sqref="G9:G18">
    <cfRule type="cellIs" dxfId="63" priority="66" operator="equal">
      <formula>"Std"</formula>
    </cfRule>
  </conditionalFormatting>
  <conditionalFormatting sqref="M9:M18 U9:U18">
    <cfRule type="cellIs" dxfId="62" priority="54" operator="lessThan">
      <formula>100</formula>
    </cfRule>
    <cfRule type="cellIs" dxfId="61" priority="55" operator="greaterThan">
      <formula>100</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93795-1570-47F0-9EC0-7DC98AF14570}">
  <sheetPr>
    <tabColor theme="4" tint="0.39997558519241921"/>
  </sheetPr>
  <dimension ref="A1:U27"/>
  <sheetViews>
    <sheetView topLeftCell="C1" zoomScaleNormal="100" zoomScaleSheetLayoutView="70" workbookViewId="0">
      <selection activeCell="N15" sqref="N15"/>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87" t="s">
        <v>35</v>
      </c>
      <c r="B2" s="1088"/>
      <c r="C2" s="1088"/>
      <c r="D2" s="1088"/>
      <c r="E2" s="1088"/>
      <c r="F2" s="1088"/>
      <c r="G2" s="1088"/>
      <c r="H2" s="1088"/>
      <c r="I2" s="1088"/>
      <c r="J2" s="1088"/>
      <c r="K2" s="1088"/>
      <c r="L2" s="1088"/>
      <c r="M2" s="1088"/>
      <c r="N2" s="1088"/>
      <c r="O2" s="1088"/>
      <c r="P2" s="1089"/>
      <c r="Q2" s="1088"/>
      <c r="R2" s="1088"/>
      <c r="S2" s="1088"/>
      <c r="T2" s="1088"/>
      <c r="U2" s="1088"/>
    </row>
    <row r="3" spans="1:21" s="103" customFormat="1" ht="32.25" thickBot="1">
      <c r="A3" s="1084" t="s">
        <v>36</v>
      </c>
      <c r="B3" s="1085"/>
      <c r="C3" s="1085"/>
      <c r="D3" s="1085"/>
      <c r="E3" s="1085"/>
      <c r="F3" s="1085"/>
      <c r="G3" s="1085"/>
      <c r="H3" s="1085"/>
      <c r="I3" s="1085"/>
      <c r="J3" s="1085"/>
      <c r="K3" s="1085"/>
      <c r="L3" s="1085"/>
      <c r="M3" s="1085"/>
      <c r="N3" s="1085"/>
      <c r="O3" s="1085"/>
      <c r="P3" s="1085"/>
      <c r="Q3" s="1085"/>
      <c r="R3" s="1085"/>
      <c r="S3" s="1085"/>
      <c r="T3" s="1085"/>
      <c r="U3" s="1086"/>
    </row>
    <row r="4" spans="1:21" ht="15.75">
      <c r="A4" s="632" t="s">
        <v>2</v>
      </c>
      <c r="B4" s="633"/>
      <c r="C4" s="655"/>
      <c r="D4" s="655"/>
      <c r="E4" s="56" t="s">
        <v>47</v>
      </c>
      <c r="F4" s="656"/>
      <c r="G4" s="657"/>
      <c r="H4" s="657"/>
      <c r="I4" s="657"/>
      <c r="J4" s="657"/>
      <c r="K4" s="657"/>
      <c r="L4" s="657"/>
      <c r="M4" s="657"/>
      <c r="N4" s="57" t="s">
        <v>39</v>
      </c>
      <c r="O4" s="637"/>
      <c r="P4" s="637"/>
      <c r="Q4" s="637"/>
      <c r="R4" s="637"/>
      <c r="S4" s="637"/>
      <c r="T4" s="637"/>
      <c r="U4" s="638"/>
    </row>
    <row r="5" spans="1:21" ht="16.5" thickBot="1">
      <c r="A5" s="632" t="s">
        <v>5</v>
      </c>
      <c r="B5" s="633"/>
      <c r="C5" s="634"/>
      <c r="D5" s="634"/>
      <c r="E5" s="49" t="s">
        <v>6</v>
      </c>
      <c r="F5" s="635"/>
      <c r="G5" s="636"/>
      <c r="H5" s="636"/>
      <c r="I5" s="636"/>
      <c r="J5" s="636"/>
      <c r="K5" s="636"/>
      <c r="L5" s="636"/>
      <c r="M5" s="636"/>
      <c r="N5" s="50" t="s">
        <v>7</v>
      </c>
      <c r="O5" s="637"/>
      <c r="P5" s="637"/>
      <c r="Q5" s="637"/>
      <c r="R5" s="637"/>
      <c r="S5" s="637"/>
      <c r="T5" s="637"/>
      <c r="U5" s="638"/>
    </row>
    <row r="6" spans="1:21" ht="16.5" thickBot="1">
      <c r="A6" s="632" t="s">
        <v>8</v>
      </c>
      <c r="B6" s="633"/>
      <c r="C6" s="639"/>
      <c r="D6" s="640"/>
      <c r="E6" s="641"/>
      <c r="F6" s="640"/>
      <c r="G6" s="640"/>
      <c r="H6" s="640"/>
      <c r="I6" s="640"/>
      <c r="J6" s="640"/>
      <c r="K6" s="640"/>
      <c r="L6" s="640"/>
      <c r="M6" s="642"/>
      <c r="N6" s="51" t="s">
        <v>9</v>
      </c>
      <c r="O6" s="1"/>
      <c r="P6" s="1"/>
      <c r="Q6" s="2" t="s">
        <v>10</v>
      </c>
      <c r="R6" s="643"/>
      <c r="S6" s="644"/>
      <c r="T6" s="644"/>
      <c r="U6" s="645"/>
    </row>
    <row r="7" spans="1:21" ht="13.5" customHeight="1" thickBot="1">
      <c r="A7" s="646" t="s">
        <v>11</v>
      </c>
      <c r="B7" s="628" t="s">
        <v>52</v>
      </c>
      <c r="C7" s="628" t="s">
        <v>530</v>
      </c>
      <c r="D7" s="649" t="s">
        <v>13</v>
      </c>
      <c r="E7" s="651" t="s">
        <v>14</v>
      </c>
      <c r="F7" s="630" t="s">
        <v>15</v>
      </c>
      <c r="G7" s="630" t="s">
        <v>16</v>
      </c>
      <c r="H7" s="628" t="s">
        <v>17</v>
      </c>
      <c r="I7" s="622" t="s">
        <v>18</v>
      </c>
      <c r="J7" s="623"/>
      <c r="K7" s="624"/>
      <c r="L7" s="625"/>
      <c r="M7" s="626" t="s">
        <v>19</v>
      </c>
      <c r="N7" s="628" t="s">
        <v>20</v>
      </c>
      <c r="O7" s="628" t="s">
        <v>260</v>
      </c>
      <c r="P7" s="628" t="s">
        <v>175</v>
      </c>
      <c r="Q7" s="653" t="s">
        <v>21</v>
      </c>
      <c r="R7" s="653"/>
      <c r="S7" s="653"/>
      <c r="T7" s="653"/>
      <c r="U7" s="654"/>
    </row>
    <row r="8" spans="1:21" ht="59.25">
      <c r="A8" s="647"/>
      <c r="B8" s="648"/>
      <c r="C8" s="648"/>
      <c r="D8" s="650"/>
      <c r="E8" s="652"/>
      <c r="F8" s="631"/>
      <c r="G8" s="631"/>
      <c r="H8" s="652"/>
      <c r="I8" s="52" t="s">
        <v>22</v>
      </c>
      <c r="J8" s="55" t="s">
        <v>23</v>
      </c>
      <c r="K8" s="52" t="s">
        <v>24</v>
      </c>
      <c r="L8" s="53" t="s">
        <v>25</v>
      </c>
      <c r="M8" s="627"/>
      <c r="N8" s="629"/>
      <c r="O8" s="629"/>
      <c r="P8" s="629"/>
      <c r="Q8" s="52" t="s">
        <v>26</v>
      </c>
      <c r="R8" s="53" t="s">
        <v>15</v>
      </c>
      <c r="S8" s="53" t="s">
        <v>27</v>
      </c>
      <c r="T8" s="53" t="s">
        <v>25</v>
      </c>
      <c r="U8" s="54" t="s">
        <v>19</v>
      </c>
    </row>
    <row r="9" spans="1:21" ht="15">
      <c r="A9" s="1075"/>
      <c r="B9" s="1076"/>
      <c r="C9" s="3"/>
      <c r="D9" s="4"/>
      <c r="E9" s="13"/>
      <c r="F9" s="5"/>
      <c r="G9" s="6"/>
      <c r="H9" s="7"/>
      <c r="I9" s="8"/>
      <c r="J9" s="5"/>
      <c r="K9" s="8"/>
      <c r="L9" s="5"/>
      <c r="M9" s="9" t="str">
        <f>IF(F9*J9*L9=0,"",F9*J9*L9)</f>
        <v/>
      </c>
      <c r="N9" s="10"/>
      <c r="O9" s="11"/>
      <c r="P9" s="11"/>
      <c r="Q9" s="11"/>
      <c r="R9" s="11"/>
      <c r="S9" s="11"/>
      <c r="T9" s="11"/>
      <c r="U9" s="12" t="str">
        <f>IF(R9*S9*T9=0,"",R9*S9*T9)</f>
        <v/>
      </c>
    </row>
    <row r="10" spans="1:21" ht="15">
      <c r="A10" s="16"/>
      <c r="B10" s="17"/>
      <c r="C10" s="18"/>
      <c r="D10" s="19"/>
      <c r="E10" s="20"/>
      <c r="F10" s="21"/>
      <c r="G10" s="22"/>
      <c r="H10" s="20"/>
      <c r="I10" s="24"/>
      <c r="J10" s="21"/>
      <c r="K10" s="24"/>
      <c r="L10" s="21"/>
      <c r="M10" s="9" t="str">
        <f t="shared" ref="M10:M27" si="0">IF(F10*J10*L10=0,"",F10*J10*L10)</f>
        <v/>
      </c>
      <c r="N10" s="14"/>
      <c r="O10" s="14"/>
      <c r="P10" s="14"/>
      <c r="Q10" s="15"/>
      <c r="R10" s="11"/>
      <c r="S10" s="11"/>
      <c r="T10" s="11"/>
      <c r="U10" s="12" t="str">
        <f t="shared" ref="U10:U27" si="1">IF(R10*S10*T10=0,"",R10*S10*T10)</f>
        <v/>
      </c>
    </row>
    <row r="11" spans="1:21" ht="15">
      <c r="A11" s="16"/>
      <c r="B11" s="25"/>
      <c r="C11" s="26"/>
      <c r="D11" s="27"/>
      <c r="E11" s="28"/>
      <c r="F11" s="241"/>
      <c r="G11" s="22"/>
      <c r="H11" s="20"/>
      <c r="I11" s="24"/>
      <c r="J11" s="30"/>
      <c r="K11" s="31"/>
      <c r="L11" s="241"/>
      <c r="M11" s="9" t="str">
        <f t="shared" si="0"/>
        <v/>
      </c>
      <c r="N11" s="14"/>
      <c r="O11" s="14"/>
      <c r="P11" s="14"/>
      <c r="Q11" s="14"/>
      <c r="R11" s="11"/>
      <c r="S11" s="11"/>
      <c r="T11" s="11"/>
      <c r="U11" s="12" t="str">
        <f t="shared" si="1"/>
        <v/>
      </c>
    </row>
    <row r="12" spans="1:21" ht="15">
      <c r="A12" s="16"/>
      <c r="B12" s="25"/>
      <c r="C12" s="26"/>
      <c r="D12" s="32"/>
      <c r="E12" s="33"/>
      <c r="F12" s="30"/>
      <c r="G12" s="22"/>
      <c r="H12" s="28"/>
      <c r="I12" s="24"/>
      <c r="J12" s="30"/>
      <c r="K12" s="31"/>
      <c r="L12" s="30"/>
      <c r="M12" s="9" t="str">
        <f t="shared" si="0"/>
        <v/>
      </c>
      <c r="N12" s="14"/>
      <c r="O12" s="14"/>
      <c r="P12" s="14"/>
      <c r="Q12" s="14"/>
      <c r="R12" s="11"/>
      <c r="S12" s="11"/>
      <c r="T12" s="11"/>
      <c r="U12" s="12" t="str">
        <f t="shared" si="1"/>
        <v/>
      </c>
    </row>
    <row r="13" spans="1:21" ht="15">
      <c r="A13" s="16"/>
      <c r="B13" s="25"/>
      <c r="C13" s="26"/>
      <c r="D13" s="19"/>
      <c r="E13" s="20"/>
      <c r="F13" s="21"/>
      <c r="G13" s="22"/>
      <c r="H13" s="20"/>
      <c r="I13" s="24"/>
      <c r="J13" s="21"/>
      <c r="K13" s="24"/>
      <c r="L13" s="21"/>
      <c r="M13" s="9" t="str">
        <f t="shared" si="0"/>
        <v/>
      </c>
      <c r="N13" s="14"/>
      <c r="O13" s="14"/>
      <c r="P13" s="14"/>
      <c r="Q13" s="14"/>
      <c r="R13" s="11"/>
      <c r="S13" s="11"/>
      <c r="T13" s="11"/>
      <c r="U13" s="12" t="str">
        <f t="shared" si="1"/>
        <v/>
      </c>
    </row>
    <row r="14" spans="1:21" ht="15">
      <c r="A14" s="16"/>
      <c r="B14" s="33"/>
      <c r="C14" s="34"/>
      <c r="D14" s="19"/>
      <c r="E14" s="20"/>
      <c r="F14" s="21"/>
      <c r="G14" s="22"/>
      <c r="H14" s="20"/>
      <c r="I14" s="24"/>
      <c r="J14" s="21"/>
      <c r="K14" s="24"/>
      <c r="L14" s="21"/>
      <c r="M14" s="9" t="str">
        <f t="shared" si="0"/>
        <v/>
      </c>
      <c r="N14" s="14"/>
      <c r="O14" s="14"/>
      <c r="P14" s="14"/>
      <c r="Q14" s="14"/>
      <c r="R14" s="11"/>
      <c r="S14" s="11"/>
      <c r="T14" s="11"/>
      <c r="U14" s="12" t="str">
        <f t="shared" si="1"/>
        <v/>
      </c>
    </row>
    <row r="15" spans="1:21" ht="15">
      <c r="A15" s="16"/>
      <c r="B15" s="33"/>
      <c r="C15" s="34"/>
      <c r="D15" s="19"/>
      <c r="E15" s="20"/>
      <c r="F15" s="21"/>
      <c r="G15" s="22"/>
      <c r="H15" s="20"/>
      <c r="I15" s="24"/>
      <c r="J15" s="21"/>
      <c r="K15" s="24"/>
      <c r="L15" s="21"/>
      <c r="M15" s="9" t="str">
        <f t="shared" si="0"/>
        <v/>
      </c>
      <c r="N15" s="14"/>
      <c r="O15" s="14"/>
      <c r="P15" s="14"/>
      <c r="Q15" s="14"/>
      <c r="R15" s="11"/>
      <c r="S15" s="11"/>
      <c r="T15" s="11"/>
      <c r="U15" s="12" t="str">
        <f t="shared" si="1"/>
        <v/>
      </c>
    </row>
    <row r="16" spans="1:21" ht="15">
      <c r="A16" s="16"/>
      <c r="B16" s="33"/>
      <c r="C16" s="34"/>
      <c r="D16" s="19"/>
      <c r="E16" s="20"/>
      <c r="F16" s="21"/>
      <c r="G16" s="22"/>
      <c r="H16" s="20"/>
      <c r="I16" s="24"/>
      <c r="J16" s="21"/>
      <c r="K16" s="24"/>
      <c r="L16" s="21"/>
      <c r="M16" s="9" t="str">
        <f t="shared" si="0"/>
        <v/>
      </c>
      <c r="N16" s="14"/>
      <c r="O16" s="14"/>
      <c r="P16" s="14"/>
      <c r="Q16" s="14"/>
      <c r="R16" s="11"/>
      <c r="S16" s="11"/>
      <c r="T16" s="11"/>
      <c r="U16" s="12" t="str">
        <f t="shared" si="1"/>
        <v/>
      </c>
    </row>
    <row r="17" spans="1:21" ht="15">
      <c r="A17" s="16"/>
      <c r="B17" s="17"/>
      <c r="C17" s="18"/>
      <c r="D17" s="19"/>
      <c r="E17" s="20"/>
      <c r="F17" s="21"/>
      <c r="G17" s="22"/>
      <c r="H17" s="23"/>
      <c r="I17" s="24"/>
      <c r="J17" s="21"/>
      <c r="K17" s="24"/>
      <c r="L17" s="21"/>
      <c r="M17" s="9" t="str">
        <f t="shared" si="0"/>
        <v/>
      </c>
      <c r="N17" s="14"/>
      <c r="O17" s="14"/>
      <c r="P17" s="14"/>
      <c r="Q17" s="15"/>
      <c r="R17" s="11"/>
      <c r="S17" s="11"/>
      <c r="T17" s="11"/>
      <c r="U17" s="12" t="str">
        <f t="shared" si="1"/>
        <v/>
      </c>
    </row>
    <row r="18" spans="1:21" ht="15">
      <c r="A18" s="16"/>
      <c r="B18" s="17"/>
      <c r="C18" s="18"/>
      <c r="D18" s="19"/>
      <c r="E18" s="20"/>
      <c r="F18" s="21"/>
      <c r="G18" s="22"/>
      <c r="H18" s="23"/>
      <c r="I18" s="24"/>
      <c r="J18" s="21"/>
      <c r="K18" s="24"/>
      <c r="L18" s="21"/>
      <c r="M18" s="9" t="str">
        <f t="shared" si="0"/>
        <v/>
      </c>
      <c r="N18" s="14"/>
      <c r="O18" s="14"/>
      <c r="P18" s="14"/>
      <c r="Q18" s="14"/>
      <c r="R18" s="11"/>
      <c r="S18" s="11"/>
      <c r="T18" s="11"/>
      <c r="U18" s="12" t="str">
        <f t="shared" si="1"/>
        <v/>
      </c>
    </row>
    <row r="19" spans="1:21" ht="15">
      <c r="A19" s="16"/>
      <c r="B19" s="17"/>
      <c r="C19" s="18"/>
      <c r="D19" s="19"/>
      <c r="E19" s="20"/>
      <c r="F19" s="21"/>
      <c r="G19" s="22"/>
      <c r="H19" s="23"/>
      <c r="I19" s="24"/>
      <c r="J19" s="21"/>
      <c r="K19" s="24"/>
      <c r="L19" s="21"/>
      <c r="M19" s="9" t="str">
        <f t="shared" si="0"/>
        <v/>
      </c>
      <c r="N19" s="14"/>
      <c r="O19" s="14"/>
      <c r="P19" s="14"/>
      <c r="Q19" s="15"/>
      <c r="R19" s="11"/>
      <c r="S19" s="11"/>
      <c r="T19" s="11"/>
      <c r="U19" s="12" t="str">
        <f t="shared" si="1"/>
        <v/>
      </c>
    </row>
    <row r="20" spans="1:21" ht="15">
      <c r="A20" s="16"/>
      <c r="B20" s="17"/>
      <c r="C20" s="18"/>
      <c r="D20" s="19"/>
      <c r="E20" s="20"/>
      <c r="F20" s="21"/>
      <c r="G20" s="22"/>
      <c r="H20" s="23"/>
      <c r="I20" s="24"/>
      <c r="J20" s="21"/>
      <c r="K20" s="24"/>
      <c r="L20" s="21"/>
      <c r="M20" s="9" t="str">
        <f t="shared" si="0"/>
        <v/>
      </c>
      <c r="N20" s="14"/>
      <c r="O20" s="14"/>
      <c r="P20" s="14"/>
      <c r="Q20" s="14"/>
      <c r="R20" s="11"/>
      <c r="S20" s="11"/>
      <c r="T20" s="11"/>
      <c r="U20" s="12" t="str">
        <f t="shared" si="1"/>
        <v/>
      </c>
    </row>
    <row r="21" spans="1:21" ht="15">
      <c r="A21" s="16"/>
      <c r="B21" s="17"/>
      <c r="C21" s="18"/>
      <c r="D21" s="19"/>
      <c r="E21" s="20"/>
      <c r="F21" s="21"/>
      <c r="G21" s="22"/>
      <c r="H21" s="23"/>
      <c r="I21" s="24"/>
      <c r="J21" s="21"/>
      <c r="K21" s="24"/>
      <c r="L21" s="21"/>
      <c r="M21" s="9" t="str">
        <f t="shared" si="0"/>
        <v/>
      </c>
      <c r="N21" s="14"/>
      <c r="O21" s="14"/>
      <c r="P21" s="14"/>
      <c r="Q21" s="15"/>
      <c r="R21" s="11"/>
      <c r="S21" s="11"/>
      <c r="T21" s="11"/>
      <c r="U21" s="12" t="str">
        <f t="shared" si="1"/>
        <v/>
      </c>
    </row>
    <row r="22" spans="1:21" ht="15">
      <c r="A22" s="16"/>
      <c r="B22" s="17"/>
      <c r="C22" s="18"/>
      <c r="D22" s="19"/>
      <c r="E22" s="20"/>
      <c r="F22" s="21"/>
      <c r="G22" s="22"/>
      <c r="H22" s="23"/>
      <c r="I22" s="24"/>
      <c r="J22" s="21"/>
      <c r="K22" s="24"/>
      <c r="L22" s="21"/>
      <c r="M22" s="9" t="str">
        <f t="shared" si="0"/>
        <v/>
      </c>
      <c r="N22" s="14"/>
      <c r="O22" s="14"/>
      <c r="P22" s="14"/>
      <c r="Q22" s="15"/>
      <c r="R22" s="11"/>
      <c r="S22" s="11"/>
      <c r="T22" s="11"/>
      <c r="U22" s="12" t="str">
        <f t="shared" si="1"/>
        <v/>
      </c>
    </row>
    <row r="23" spans="1:21" ht="15">
      <c r="A23" s="16"/>
      <c r="B23" s="35"/>
      <c r="C23" s="18"/>
      <c r="D23" s="19"/>
      <c r="E23" s="20"/>
      <c r="F23" s="21"/>
      <c r="G23" s="22"/>
      <c r="H23" s="23"/>
      <c r="I23" s="24"/>
      <c r="J23" s="21"/>
      <c r="K23" s="24"/>
      <c r="L23" s="21"/>
      <c r="M23" s="9" t="str">
        <f t="shared" si="0"/>
        <v/>
      </c>
      <c r="N23" s="14"/>
      <c r="O23" s="14"/>
      <c r="P23" s="14"/>
      <c r="Q23" s="15"/>
      <c r="R23" s="11"/>
      <c r="S23" s="11"/>
      <c r="T23" s="11"/>
      <c r="U23" s="12" t="str">
        <f t="shared" si="1"/>
        <v/>
      </c>
    </row>
    <row r="24" spans="1:21" ht="15">
      <c r="A24" s="16"/>
      <c r="B24" s="35"/>
      <c r="C24" s="18"/>
      <c r="D24" s="19"/>
      <c r="E24" s="20"/>
      <c r="F24" s="21"/>
      <c r="G24" s="22"/>
      <c r="H24" s="23"/>
      <c r="I24" s="24"/>
      <c r="J24" s="21"/>
      <c r="K24" s="24"/>
      <c r="L24" s="21"/>
      <c r="M24" s="9" t="str">
        <f t="shared" si="0"/>
        <v/>
      </c>
      <c r="N24" s="14"/>
      <c r="O24" s="14"/>
      <c r="P24" s="14"/>
      <c r="Q24" s="15"/>
      <c r="R24" s="11"/>
      <c r="S24" s="11"/>
      <c r="T24" s="11"/>
      <c r="U24" s="12" t="str">
        <f t="shared" si="1"/>
        <v/>
      </c>
    </row>
    <row r="25" spans="1:21" ht="15">
      <c r="A25" s="36"/>
      <c r="B25" s="35"/>
      <c r="C25" s="18"/>
      <c r="D25" s="19"/>
      <c r="E25" s="20"/>
      <c r="F25" s="21"/>
      <c r="G25" s="22"/>
      <c r="H25" s="23"/>
      <c r="I25" s="24"/>
      <c r="J25" s="21"/>
      <c r="K25" s="24"/>
      <c r="L25" s="21"/>
      <c r="M25" s="9" t="str">
        <f t="shared" si="0"/>
        <v/>
      </c>
      <c r="N25" s="14"/>
      <c r="O25" s="14"/>
      <c r="P25" s="14"/>
      <c r="Q25" s="15"/>
      <c r="R25" s="11"/>
      <c r="S25" s="11"/>
      <c r="T25" s="11"/>
      <c r="U25" s="12" t="str">
        <f t="shared" si="1"/>
        <v/>
      </c>
    </row>
    <row r="26" spans="1:21" ht="15">
      <c r="A26" s="36"/>
      <c r="B26" s="35"/>
      <c r="C26" s="18"/>
      <c r="D26" s="19"/>
      <c r="E26" s="20"/>
      <c r="F26" s="21"/>
      <c r="G26" s="22"/>
      <c r="H26" s="20"/>
      <c r="I26" s="24"/>
      <c r="J26" s="21"/>
      <c r="K26" s="24"/>
      <c r="L26" s="21"/>
      <c r="M26" s="9" t="str">
        <f t="shared" si="0"/>
        <v/>
      </c>
      <c r="N26" s="14"/>
      <c r="O26" s="14"/>
      <c r="P26" s="14"/>
      <c r="Q26" s="15"/>
      <c r="R26" s="11"/>
      <c r="S26" s="11"/>
      <c r="T26" s="11"/>
      <c r="U26" s="12" t="str">
        <f t="shared" si="1"/>
        <v/>
      </c>
    </row>
    <row r="27" spans="1:21" ht="15.75" thickBot="1">
      <c r="A27" s="37"/>
      <c r="B27" s="38"/>
      <c r="C27" s="39"/>
      <c r="D27" s="40"/>
      <c r="E27" s="41"/>
      <c r="F27" s="42"/>
      <c r="G27" s="43"/>
      <c r="H27" s="44"/>
      <c r="I27" s="45"/>
      <c r="J27" s="42"/>
      <c r="K27" s="45"/>
      <c r="L27" s="42"/>
      <c r="M27" s="9" t="str">
        <f t="shared" si="0"/>
        <v/>
      </c>
      <c r="N27" s="46"/>
      <c r="O27" s="46"/>
      <c r="P27" s="46"/>
      <c r="Q27" s="47"/>
      <c r="R27" s="48"/>
      <c r="S27" s="48"/>
      <c r="T27" s="48"/>
      <c r="U27" s="12" t="str">
        <f t="shared" si="1"/>
        <v/>
      </c>
    </row>
  </sheetData>
  <mergeCells count="27">
    <mergeCell ref="P7:P8"/>
    <mergeCell ref="A2:U2"/>
    <mergeCell ref="A3:U3"/>
    <mergeCell ref="A4:B4"/>
    <mergeCell ref="C4:D4"/>
    <mergeCell ref="F4:M4"/>
    <mergeCell ref="O4:U4"/>
    <mergeCell ref="F7:F8"/>
    <mergeCell ref="A5:B5"/>
    <mergeCell ref="C5:D5"/>
    <mergeCell ref="F5:M5"/>
    <mergeCell ref="O5:U5"/>
    <mergeCell ref="A6:B6"/>
    <mergeCell ref="C6:M6"/>
    <mergeCell ref="R6:U6"/>
    <mergeCell ref="A7:A8"/>
    <mergeCell ref="B7:B8"/>
    <mergeCell ref="C7:C8"/>
    <mergeCell ref="D7:D8"/>
    <mergeCell ref="E7:E8"/>
    <mergeCell ref="Q7:U7"/>
    <mergeCell ref="G7:G8"/>
    <mergeCell ref="H7:H8"/>
    <mergeCell ref="I7:L7"/>
    <mergeCell ref="M7:M8"/>
    <mergeCell ref="N7:N8"/>
    <mergeCell ref="O7:O8"/>
  </mergeCells>
  <conditionalFormatting sqref="M9:M27">
    <cfRule type="cellIs" dxfId="60" priority="71" operator="greaterThan">
      <formula>100</formula>
    </cfRule>
  </conditionalFormatting>
  <conditionalFormatting sqref="U9:U27">
    <cfRule type="cellIs" dxfId="59" priority="70" operator="greaterThan">
      <formula>100</formula>
    </cfRule>
  </conditionalFormatting>
  <conditionalFormatting sqref="G10:G27">
    <cfRule type="cellIs" dxfId="58" priority="67" operator="equal">
      <formula>"VM"</formula>
    </cfRule>
    <cfRule type="cellIs" dxfId="57" priority="68" operator="equal">
      <formula>"vc"</formula>
    </cfRule>
    <cfRule type="cellIs" dxfId="56" priority="69" stopIfTrue="1" operator="equal">
      <formula>"vs"</formula>
    </cfRule>
  </conditionalFormatting>
  <conditionalFormatting sqref="G10:G27">
    <cfRule type="cellIs" dxfId="55" priority="66" operator="equal">
      <formula>"Std"</formula>
    </cfRule>
  </conditionalFormatting>
  <conditionalFormatting sqref="M9">
    <cfRule type="cellIs" dxfId="54" priority="58" operator="greaterThan">
      <formula>100</formula>
    </cfRule>
  </conditionalFormatting>
  <conditionalFormatting sqref="M9:M27 U9:U27">
    <cfRule type="cellIs" dxfId="53" priority="54" operator="lessThan">
      <formula>100</formula>
    </cfRule>
    <cfRule type="cellIs" dxfId="52" priority="55" operator="greaterThan">
      <formula>100</formula>
    </cfRule>
  </conditionalFormatting>
  <conditionalFormatting sqref="G9">
    <cfRule type="cellIs" dxfId="51" priority="50" stopIfTrue="1" operator="equal">
      <formula>"VM"</formula>
    </cfRule>
    <cfRule type="cellIs" dxfId="50" priority="51" stopIfTrue="1" operator="equal">
      <formula>"vc"</formula>
    </cfRule>
    <cfRule type="cellIs" dxfId="49" priority="52" stopIfTrue="1" operator="equal">
      <formula>"vs"</formula>
    </cfRule>
    <cfRule type="cellIs" dxfId="48" priority="53" stopIfTrue="1" operator="equal">
      <formula>"Std"</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5B1DB-8AA3-4025-A31F-A9FB967A2F1A}">
  <sheetPr>
    <tabColor theme="4" tint="0.39997558519241921"/>
  </sheetPr>
  <dimension ref="A1:U44"/>
  <sheetViews>
    <sheetView topLeftCell="D1" zoomScaleNormal="100" zoomScaleSheetLayoutView="70" workbookViewId="0">
      <selection activeCell="K17" sqref="K17"/>
    </sheetView>
  </sheetViews>
  <sheetFormatPr defaultColWidth="11.42578125" defaultRowHeight="12.75"/>
  <cols>
    <col min="1" max="1" width="12.5703125" customWidth="1"/>
    <col min="2" max="2" width="22.5703125" customWidth="1"/>
    <col min="3" max="3" width="24.7109375" customWidth="1"/>
    <col min="4" max="4" width="23.140625" customWidth="1"/>
    <col min="5" max="5" width="30.5703125" customWidth="1"/>
    <col min="6" max="7" width="7.7109375" customWidth="1"/>
    <col min="8" max="8" width="29.5703125" bestFit="1" customWidth="1"/>
    <col min="9" max="9" width="14.7109375" customWidth="1"/>
    <col min="10" max="10" width="7.7109375" customWidth="1"/>
    <col min="11" max="11" width="17.5703125" customWidth="1"/>
    <col min="12" max="13" width="7.7109375" customWidth="1"/>
    <col min="14" max="14" width="33.5703125" customWidth="1"/>
    <col min="15" max="16" width="22.7109375" customWidth="1"/>
    <col min="17" max="17" width="24.5703125" customWidth="1"/>
    <col min="18" max="21" width="7.7109375" customWidth="1"/>
  </cols>
  <sheetData>
    <row r="1" spans="1:21" s="103" customFormat="1" ht="15" customHeight="1" thickBot="1">
      <c r="A1" s="1077"/>
      <c r="B1" s="1078"/>
      <c r="C1" s="1078"/>
      <c r="D1" s="1078"/>
      <c r="E1" s="1078"/>
      <c r="F1" s="1078"/>
      <c r="G1" s="1078"/>
      <c r="H1" s="1078"/>
      <c r="I1" s="1078"/>
      <c r="J1" s="1078"/>
      <c r="K1" s="1078"/>
      <c r="L1" s="1078"/>
      <c r="M1" s="1078"/>
      <c r="N1" s="1078"/>
      <c r="O1" s="1078"/>
      <c r="P1" s="1078"/>
      <c r="Q1" s="1078"/>
      <c r="R1" s="1078"/>
      <c r="S1" s="1078"/>
      <c r="T1" s="1078"/>
      <c r="U1" s="1078"/>
    </row>
    <row r="2" spans="1:21" s="103" customFormat="1" ht="21" thickBot="1">
      <c r="A2" s="1079" t="s">
        <v>43</v>
      </c>
      <c r="B2" s="1080"/>
      <c r="C2" s="1080"/>
      <c r="D2" s="1080"/>
      <c r="E2" s="1080"/>
      <c r="F2" s="1080"/>
      <c r="G2" s="1080"/>
      <c r="H2" s="1080"/>
      <c r="I2" s="1080"/>
      <c r="J2" s="1080"/>
      <c r="K2" s="1080"/>
      <c r="L2" s="1080"/>
      <c r="M2" s="1080"/>
      <c r="N2" s="1080"/>
      <c r="O2" s="1080"/>
      <c r="P2" s="1123"/>
      <c r="Q2" s="1080"/>
      <c r="R2" s="1080"/>
      <c r="S2" s="1080"/>
      <c r="T2" s="1080"/>
      <c r="U2" s="1080"/>
    </row>
    <row r="3" spans="1:21" s="103" customFormat="1" ht="32.25" thickBot="1">
      <c r="A3" s="1081" t="s">
        <v>42</v>
      </c>
      <c r="B3" s="1082"/>
      <c r="C3" s="1082"/>
      <c r="D3" s="1082"/>
      <c r="E3" s="1082"/>
      <c r="F3" s="1082"/>
      <c r="G3" s="1082"/>
      <c r="H3" s="1082"/>
      <c r="I3" s="1082"/>
      <c r="J3" s="1082"/>
      <c r="K3" s="1082"/>
      <c r="L3" s="1082"/>
      <c r="M3" s="1082"/>
      <c r="N3" s="1082"/>
      <c r="O3" s="1082"/>
      <c r="P3" s="1082"/>
      <c r="Q3" s="1082"/>
      <c r="R3" s="1082"/>
      <c r="S3" s="1082"/>
      <c r="T3" s="1082"/>
      <c r="U3" s="1083"/>
    </row>
    <row r="4" spans="1:21" ht="15.75">
      <c r="A4" s="632" t="s">
        <v>2</v>
      </c>
      <c r="B4" s="633"/>
      <c r="C4" s="655"/>
      <c r="D4" s="655"/>
      <c r="E4" s="56" t="s">
        <v>41</v>
      </c>
      <c r="F4" s="656"/>
      <c r="G4" s="657"/>
      <c r="H4" s="657"/>
      <c r="I4" s="657"/>
      <c r="J4" s="657"/>
      <c r="K4" s="657"/>
      <c r="L4" s="657"/>
      <c r="M4" s="657"/>
      <c r="N4" s="57" t="s">
        <v>40</v>
      </c>
      <c r="O4" s="637"/>
      <c r="P4" s="637"/>
      <c r="Q4" s="637"/>
      <c r="R4" s="637"/>
      <c r="S4" s="637"/>
      <c r="T4" s="637"/>
      <c r="U4" s="638"/>
    </row>
    <row r="5" spans="1:21" ht="16.5" thickBot="1">
      <c r="A5" s="632" t="s">
        <v>5</v>
      </c>
      <c r="B5" s="633"/>
      <c r="C5" s="634"/>
      <c r="D5" s="634"/>
      <c r="E5" s="49" t="s">
        <v>6</v>
      </c>
      <c r="F5" s="635"/>
      <c r="G5" s="636"/>
      <c r="H5" s="636"/>
      <c r="I5" s="636"/>
      <c r="J5" s="636"/>
      <c r="K5" s="636"/>
      <c r="L5" s="636"/>
      <c r="M5" s="636"/>
      <c r="N5" s="50" t="s">
        <v>7</v>
      </c>
      <c r="O5" s="637"/>
      <c r="P5" s="637"/>
      <c r="Q5" s="637"/>
      <c r="R5" s="637"/>
      <c r="S5" s="637"/>
      <c r="T5" s="637"/>
      <c r="U5" s="638"/>
    </row>
    <row r="6" spans="1:21" ht="16.5" thickBot="1">
      <c r="A6" s="632" t="s">
        <v>8</v>
      </c>
      <c r="B6" s="633"/>
      <c r="C6" s="639"/>
      <c r="D6" s="640"/>
      <c r="E6" s="641"/>
      <c r="F6" s="640"/>
      <c r="G6" s="640"/>
      <c r="H6" s="640"/>
      <c r="I6" s="640"/>
      <c r="J6" s="640"/>
      <c r="K6" s="640"/>
      <c r="L6" s="640"/>
      <c r="M6" s="642"/>
      <c r="N6" s="51" t="s">
        <v>9</v>
      </c>
      <c r="O6" s="1"/>
      <c r="P6" s="1"/>
      <c r="Q6" s="2" t="s">
        <v>10</v>
      </c>
      <c r="R6" s="643"/>
      <c r="S6" s="644"/>
      <c r="T6" s="644"/>
      <c r="U6" s="645"/>
    </row>
    <row r="7" spans="1:21" ht="13.5" customHeight="1" thickBot="1">
      <c r="A7" s="646" t="s">
        <v>11</v>
      </c>
      <c r="B7" s="628" t="s">
        <v>30</v>
      </c>
      <c r="C7" s="628" t="s">
        <v>12</v>
      </c>
      <c r="D7" s="649" t="s">
        <v>13</v>
      </c>
      <c r="E7" s="651" t="s">
        <v>14</v>
      </c>
      <c r="F7" s="630" t="s">
        <v>15</v>
      </c>
      <c r="G7" s="630" t="s">
        <v>16</v>
      </c>
      <c r="H7" s="628" t="s">
        <v>17</v>
      </c>
      <c r="I7" s="622" t="s">
        <v>18</v>
      </c>
      <c r="J7" s="623"/>
      <c r="K7" s="624"/>
      <c r="L7" s="625"/>
      <c r="M7" s="626" t="s">
        <v>19</v>
      </c>
      <c r="N7" s="628" t="s">
        <v>20</v>
      </c>
      <c r="O7" s="628" t="s">
        <v>260</v>
      </c>
      <c r="P7" s="628" t="s">
        <v>175</v>
      </c>
      <c r="Q7" s="653" t="s">
        <v>21</v>
      </c>
      <c r="R7" s="653"/>
      <c r="S7" s="653"/>
      <c r="T7" s="653"/>
      <c r="U7" s="654"/>
    </row>
    <row r="8" spans="1:21" ht="59.25">
      <c r="A8" s="647"/>
      <c r="B8" s="648"/>
      <c r="C8" s="648"/>
      <c r="D8" s="650"/>
      <c r="E8" s="652"/>
      <c r="F8" s="631"/>
      <c r="G8" s="631"/>
      <c r="H8" s="652"/>
      <c r="I8" s="52" t="s">
        <v>22</v>
      </c>
      <c r="J8" s="55" t="s">
        <v>23</v>
      </c>
      <c r="K8" s="52" t="s">
        <v>24</v>
      </c>
      <c r="L8" s="53" t="s">
        <v>25</v>
      </c>
      <c r="M8" s="627"/>
      <c r="N8" s="629"/>
      <c r="O8" s="629"/>
      <c r="P8" s="629"/>
      <c r="Q8" s="52" t="s">
        <v>26</v>
      </c>
      <c r="R8" s="53" t="s">
        <v>15</v>
      </c>
      <c r="S8" s="53" t="s">
        <v>27</v>
      </c>
      <c r="T8" s="53" t="s">
        <v>25</v>
      </c>
      <c r="U8" s="54" t="s">
        <v>19</v>
      </c>
    </row>
    <row r="9" spans="1:21" ht="15">
      <c r="A9" s="16"/>
      <c r="B9" s="17"/>
      <c r="C9" s="18"/>
      <c r="D9" s="19"/>
      <c r="E9" s="20"/>
      <c r="F9" s="21"/>
      <c r="G9" s="22"/>
      <c r="H9" s="23"/>
      <c r="I9" s="24"/>
      <c r="J9" s="21"/>
      <c r="K9" s="24"/>
      <c r="L9" s="21"/>
      <c r="M9" s="9" t="str">
        <f t="shared" ref="M9:M13" si="0">IF(F9*J9*L9=0,"",F9*J9*L9)</f>
        <v/>
      </c>
      <c r="N9" s="14"/>
      <c r="O9" s="14"/>
      <c r="P9" s="14"/>
      <c r="Q9" s="15"/>
      <c r="R9" s="11"/>
      <c r="S9" s="11"/>
      <c r="T9" s="11"/>
      <c r="U9" s="12" t="str">
        <f t="shared" ref="U9:U13" si="1">IF(R9*S9*T9=0,"",R9*S9*T9)</f>
        <v/>
      </c>
    </row>
    <row r="10" spans="1:21" ht="15">
      <c r="A10" s="16"/>
      <c r="B10" s="17"/>
      <c r="C10" s="18"/>
      <c r="D10" s="19"/>
      <c r="E10" s="20"/>
      <c r="F10" s="21"/>
      <c r="G10" s="22"/>
      <c r="H10" s="23"/>
      <c r="I10" s="24"/>
      <c r="J10" s="21"/>
      <c r="K10" s="24"/>
      <c r="L10" s="21"/>
      <c r="M10" s="9" t="str">
        <f t="shared" si="0"/>
        <v/>
      </c>
      <c r="N10" s="14"/>
      <c r="O10" s="14"/>
      <c r="P10" s="14"/>
      <c r="Q10" s="15"/>
      <c r="R10" s="11"/>
      <c r="S10" s="11"/>
      <c r="T10" s="11"/>
      <c r="U10" s="12" t="str">
        <f t="shared" si="1"/>
        <v/>
      </c>
    </row>
    <row r="11" spans="1:21" ht="15">
      <c r="A11" s="16"/>
      <c r="B11" s="17"/>
      <c r="C11" s="18"/>
      <c r="D11" s="19"/>
      <c r="E11" s="20"/>
      <c r="F11" s="21"/>
      <c r="G11" s="22"/>
      <c r="H11" s="23"/>
      <c r="I11" s="24"/>
      <c r="J11" s="21"/>
      <c r="K11" s="24"/>
      <c r="L11" s="21"/>
      <c r="M11" s="9" t="str">
        <f t="shared" si="0"/>
        <v/>
      </c>
      <c r="N11" s="14"/>
      <c r="O11" s="14"/>
      <c r="P11" s="14"/>
      <c r="Q11" s="15"/>
      <c r="R11" s="11"/>
      <c r="S11" s="11"/>
      <c r="T11" s="11"/>
      <c r="U11" s="12" t="str">
        <f t="shared" si="1"/>
        <v/>
      </c>
    </row>
    <row r="12" spans="1:21" ht="15">
      <c r="A12" s="16"/>
      <c r="B12" s="17"/>
      <c r="C12" s="18"/>
      <c r="D12" s="19"/>
      <c r="E12" s="20"/>
      <c r="F12" s="21"/>
      <c r="G12" s="22"/>
      <c r="H12" s="23"/>
      <c r="I12" s="24"/>
      <c r="J12" s="21"/>
      <c r="K12" s="24"/>
      <c r="L12" s="21"/>
      <c r="M12" s="9" t="str">
        <f t="shared" si="0"/>
        <v/>
      </c>
      <c r="N12" s="14"/>
      <c r="O12" s="14"/>
      <c r="P12" s="14"/>
      <c r="Q12" s="15"/>
      <c r="R12" s="11"/>
      <c r="S12" s="11"/>
      <c r="T12" s="11"/>
      <c r="U12" s="12" t="str">
        <f t="shared" si="1"/>
        <v/>
      </c>
    </row>
    <row r="13" spans="1:21" ht="15">
      <c r="A13" s="16"/>
      <c r="B13" s="17"/>
      <c r="C13" s="18"/>
      <c r="D13" s="19"/>
      <c r="E13" s="20"/>
      <c r="F13" s="21"/>
      <c r="G13" s="22"/>
      <c r="H13" s="23"/>
      <c r="I13" s="24"/>
      <c r="J13" s="21"/>
      <c r="K13" s="24"/>
      <c r="L13" s="21"/>
      <c r="M13" s="9" t="str">
        <f t="shared" si="0"/>
        <v/>
      </c>
      <c r="N13" s="14"/>
      <c r="O13" s="14"/>
      <c r="P13" s="14"/>
      <c r="Q13" s="15"/>
      <c r="R13" s="11"/>
      <c r="S13" s="11"/>
      <c r="T13" s="11"/>
      <c r="U13" s="12" t="str">
        <f t="shared" si="1"/>
        <v/>
      </c>
    </row>
    <row r="14" spans="1:21" ht="15">
      <c r="A14" s="16"/>
      <c r="B14" s="17"/>
      <c r="C14" s="18"/>
      <c r="D14" s="19"/>
      <c r="E14" s="20"/>
      <c r="F14" s="21"/>
      <c r="G14" s="22"/>
      <c r="H14" s="23"/>
      <c r="I14" s="24"/>
      <c r="J14" s="21"/>
      <c r="K14" s="24"/>
      <c r="L14" s="21"/>
      <c r="M14" s="9" t="str">
        <f t="shared" ref="M14:M44" si="2">IF(F14*J14*L14=0,"",F14*J14*L14)</f>
        <v/>
      </c>
      <c r="N14" s="14"/>
      <c r="O14" s="14"/>
      <c r="P14" s="14"/>
      <c r="Q14" s="15"/>
      <c r="R14" s="11"/>
      <c r="S14" s="11"/>
      <c r="T14" s="11"/>
      <c r="U14" s="12" t="str">
        <f t="shared" ref="U14:U44" si="3">IF(R14*S14*T14=0,"",R14*S14*T14)</f>
        <v/>
      </c>
    </row>
    <row r="15" spans="1:21" ht="15">
      <c r="A15" s="16"/>
      <c r="B15" s="17"/>
      <c r="C15" s="18"/>
      <c r="D15" s="19"/>
      <c r="E15" s="20"/>
      <c r="F15" s="21"/>
      <c r="G15" s="22"/>
      <c r="H15" s="23"/>
      <c r="I15" s="24"/>
      <c r="J15" s="21"/>
      <c r="K15" s="24"/>
      <c r="L15" s="21"/>
      <c r="M15" s="9" t="str">
        <f t="shared" si="2"/>
        <v/>
      </c>
      <c r="N15" s="14"/>
      <c r="O15" s="14"/>
      <c r="P15" s="14"/>
      <c r="Q15" s="15"/>
      <c r="R15" s="11"/>
      <c r="S15" s="11"/>
      <c r="T15" s="11"/>
      <c r="U15" s="12" t="str">
        <f t="shared" si="3"/>
        <v/>
      </c>
    </row>
    <row r="16" spans="1:21" ht="15">
      <c r="A16" s="16"/>
      <c r="B16" s="17"/>
      <c r="C16" s="18"/>
      <c r="D16" s="19"/>
      <c r="E16" s="20"/>
      <c r="F16" s="21"/>
      <c r="G16" s="22"/>
      <c r="H16" s="23"/>
      <c r="I16" s="24"/>
      <c r="J16" s="21"/>
      <c r="K16" s="24"/>
      <c r="L16" s="21"/>
      <c r="M16" s="9" t="str">
        <f t="shared" si="2"/>
        <v/>
      </c>
      <c r="N16" s="14"/>
      <c r="O16" s="14"/>
      <c r="P16" s="14"/>
      <c r="Q16" s="15"/>
      <c r="R16" s="11"/>
      <c r="S16" s="11"/>
      <c r="T16" s="11"/>
      <c r="U16" s="12" t="str">
        <f t="shared" si="3"/>
        <v/>
      </c>
    </row>
    <row r="17" spans="1:21" ht="15">
      <c r="A17" s="16"/>
      <c r="B17" s="17"/>
      <c r="C17" s="18"/>
      <c r="D17" s="19"/>
      <c r="E17" s="20"/>
      <c r="F17" s="21"/>
      <c r="G17" s="22"/>
      <c r="H17" s="23"/>
      <c r="I17" s="24"/>
      <c r="J17" s="21"/>
      <c r="K17" s="24"/>
      <c r="L17" s="21"/>
      <c r="M17" s="9" t="str">
        <f t="shared" si="2"/>
        <v/>
      </c>
      <c r="N17" s="14"/>
      <c r="O17" s="14"/>
      <c r="P17" s="14"/>
      <c r="Q17" s="15"/>
      <c r="R17" s="11"/>
      <c r="S17" s="11"/>
      <c r="T17" s="11"/>
      <c r="U17" s="12" t="str">
        <f t="shared" si="3"/>
        <v/>
      </c>
    </row>
    <row r="18" spans="1:21" ht="15">
      <c r="A18" s="16"/>
      <c r="B18" s="17"/>
      <c r="C18" s="18"/>
      <c r="D18" s="19"/>
      <c r="E18" s="20"/>
      <c r="F18" s="21"/>
      <c r="G18" s="22"/>
      <c r="H18" s="23"/>
      <c r="I18" s="24"/>
      <c r="J18" s="21"/>
      <c r="K18" s="24"/>
      <c r="L18" s="21"/>
      <c r="M18" s="9" t="str">
        <f t="shared" si="2"/>
        <v/>
      </c>
      <c r="N18" s="14"/>
      <c r="O18" s="14"/>
      <c r="P18" s="14"/>
      <c r="Q18" s="15"/>
      <c r="R18" s="11"/>
      <c r="S18" s="11"/>
      <c r="T18" s="11"/>
      <c r="U18" s="12" t="str">
        <f t="shared" si="3"/>
        <v/>
      </c>
    </row>
    <row r="19" spans="1:21" ht="15">
      <c r="A19" s="16"/>
      <c r="B19" s="17"/>
      <c r="C19" s="18"/>
      <c r="D19" s="19"/>
      <c r="E19" s="20"/>
      <c r="F19" s="21"/>
      <c r="G19" s="22"/>
      <c r="H19" s="23"/>
      <c r="I19" s="24"/>
      <c r="J19" s="21"/>
      <c r="K19" s="24"/>
      <c r="L19" s="21"/>
      <c r="M19" s="9" t="str">
        <f t="shared" si="2"/>
        <v/>
      </c>
      <c r="N19" s="14"/>
      <c r="O19" s="14"/>
      <c r="P19" s="14"/>
      <c r="Q19" s="15"/>
      <c r="R19" s="11"/>
      <c r="S19" s="11"/>
      <c r="T19" s="11"/>
      <c r="U19" s="12" t="str">
        <f t="shared" si="3"/>
        <v/>
      </c>
    </row>
    <row r="20" spans="1:21" ht="15">
      <c r="A20" s="16"/>
      <c r="B20" s="17"/>
      <c r="C20" s="18"/>
      <c r="D20" s="19"/>
      <c r="E20" s="20"/>
      <c r="F20" s="21"/>
      <c r="G20" s="22"/>
      <c r="H20" s="23"/>
      <c r="I20" s="24"/>
      <c r="J20" s="21"/>
      <c r="K20" s="24"/>
      <c r="L20" s="21"/>
      <c r="M20" s="9" t="str">
        <f t="shared" si="2"/>
        <v/>
      </c>
      <c r="N20" s="14"/>
      <c r="O20" s="14"/>
      <c r="P20" s="14"/>
      <c r="Q20" s="15"/>
      <c r="R20" s="11"/>
      <c r="S20" s="11"/>
      <c r="T20" s="11"/>
      <c r="U20" s="12" t="str">
        <f t="shared" si="3"/>
        <v/>
      </c>
    </row>
    <row r="21" spans="1:21" ht="15">
      <c r="A21" s="16"/>
      <c r="B21" s="17"/>
      <c r="C21" s="18"/>
      <c r="D21" s="19"/>
      <c r="E21" s="20"/>
      <c r="F21" s="21"/>
      <c r="G21" s="22"/>
      <c r="H21" s="23"/>
      <c r="I21" s="24"/>
      <c r="J21" s="21"/>
      <c r="K21" s="24"/>
      <c r="L21" s="21"/>
      <c r="M21" s="9" t="str">
        <f t="shared" si="2"/>
        <v/>
      </c>
      <c r="N21" s="14"/>
      <c r="O21" s="14"/>
      <c r="P21" s="14"/>
      <c r="Q21" s="15"/>
      <c r="R21" s="11"/>
      <c r="S21" s="11"/>
      <c r="T21" s="11"/>
      <c r="U21" s="12" t="str">
        <f t="shared" si="3"/>
        <v/>
      </c>
    </row>
    <row r="22" spans="1:21" ht="15">
      <c r="A22" s="16"/>
      <c r="B22" s="17"/>
      <c r="C22" s="18"/>
      <c r="D22" s="19"/>
      <c r="E22" s="20"/>
      <c r="F22" s="21"/>
      <c r="G22" s="22"/>
      <c r="H22" s="23"/>
      <c r="I22" s="24"/>
      <c r="J22" s="21"/>
      <c r="K22" s="24"/>
      <c r="L22" s="21"/>
      <c r="M22" s="9" t="str">
        <f t="shared" si="2"/>
        <v/>
      </c>
      <c r="N22" s="14"/>
      <c r="O22" s="14"/>
      <c r="P22" s="14"/>
      <c r="Q22" s="15"/>
      <c r="R22" s="11"/>
      <c r="S22" s="11"/>
      <c r="T22" s="11"/>
      <c r="U22" s="12" t="str">
        <f t="shared" si="3"/>
        <v/>
      </c>
    </row>
    <row r="23" spans="1:21" ht="15">
      <c r="A23" s="16"/>
      <c r="B23" s="17"/>
      <c r="C23" s="18"/>
      <c r="D23" s="19"/>
      <c r="E23" s="20"/>
      <c r="F23" s="21"/>
      <c r="G23" s="22"/>
      <c r="H23" s="23"/>
      <c r="I23" s="24"/>
      <c r="J23" s="21"/>
      <c r="K23" s="24"/>
      <c r="L23" s="21"/>
      <c r="M23" s="9" t="str">
        <f t="shared" si="2"/>
        <v/>
      </c>
      <c r="N23" s="14"/>
      <c r="O23" s="14"/>
      <c r="P23" s="14"/>
      <c r="Q23" s="15"/>
      <c r="R23" s="11"/>
      <c r="S23" s="11"/>
      <c r="T23" s="11"/>
      <c r="U23" s="12" t="str">
        <f t="shared" si="3"/>
        <v/>
      </c>
    </row>
    <row r="24" spans="1:21" ht="15">
      <c r="A24" s="16"/>
      <c r="B24" s="17"/>
      <c r="C24" s="18"/>
      <c r="D24" s="19"/>
      <c r="E24" s="20"/>
      <c r="F24" s="21"/>
      <c r="G24" s="22"/>
      <c r="H24" s="23"/>
      <c r="I24" s="24"/>
      <c r="J24" s="21"/>
      <c r="K24" s="24"/>
      <c r="L24" s="21"/>
      <c r="M24" s="9" t="str">
        <f t="shared" si="2"/>
        <v/>
      </c>
      <c r="N24" s="14"/>
      <c r="O24" s="14"/>
      <c r="P24" s="14"/>
      <c r="Q24" s="15"/>
      <c r="R24" s="11"/>
      <c r="S24" s="11"/>
      <c r="T24" s="11"/>
      <c r="U24" s="12" t="str">
        <f t="shared" si="3"/>
        <v/>
      </c>
    </row>
    <row r="25" spans="1:21" ht="15">
      <c r="A25" s="16"/>
      <c r="B25" s="17"/>
      <c r="C25" s="18"/>
      <c r="D25" s="19"/>
      <c r="E25" s="20"/>
      <c r="F25" s="21"/>
      <c r="G25" s="22"/>
      <c r="H25" s="20"/>
      <c r="I25" s="24"/>
      <c r="J25" s="21"/>
      <c r="K25" s="24"/>
      <c r="L25" s="21"/>
      <c r="M25" s="9" t="str">
        <f t="shared" si="2"/>
        <v/>
      </c>
      <c r="N25" s="14"/>
      <c r="O25" s="14"/>
      <c r="P25" s="14"/>
      <c r="Q25" s="14"/>
      <c r="R25" s="11"/>
      <c r="S25" s="11"/>
      <c r="T25" s="11"/>
      <c r="U25" s="12" t="str">
        <f t="shared" si="3"/>
        <v/>
      </c>
    </row>
    <row r="26" spans="1:21" ht="15">
      <c r="A26" s="16"/>
      <c r="B26" s="17"/>
      <c r="C26" s="18"/>
      <c r="D26" s="19"/>
      <c r="E26" s="20"/>
      <c r="F26" s="21"/>
      <c r="G26" s="22"/>
      <c r="H26" s="20"/>
      <c r="I26" s="24"/>
      <c r="J26" s="21"/>
      <c r="K26" s="24"/>
      <c r="L26" s="21"/>
      <c r="M26" s="9" t="str">
        <f t="shared" si="2"/>
        <v/>
      </c>
      <c r="N26" s="14"/>
      <c r="O26" s="14"/>
      <c r="P26" s="14"/>
      <c r="Q26" s="15"/>
      <c r="R26" s="11"/>
      <c r="S26" s="11"/>
      <c r="T26" s="11"/>
      <c r="U26" s="12" t="str">
        <f t="shared" si="3"/>
        <v/>
      </c>
    </row>
    <row r="27" spans="1:21" ht="15">
      <c r="A27" s="16"/>
      <c r="B27" s="25"/>
      <c r="C27" s="26"/>
      <c r="D27" s="27"/>
      <c r="E27" s="28"/>
      <c r="F27" s="29"/>
      <c r="G27" s="22"/>
      <c r="H27" s="20"/>
      <c r="I27" s="24"/>
      <c r="J27" s="30"/>
      <c r="K27" s="31"/>
      <c r="L27" s="29"/>
      <c r="M27" s="9" t="str">
        <f t="shared" si="2"/>
        <v/>
      </c>
      <c r="N27" s="14"/>
      <c r="O27" s="14"/>
      <c r="P27" s="14"/>
      <c r="Q27" s="14"/>
      <c r="R27" s="11"/>
      <c r="S27" s="11"/>
      <c r="T27" s="11"/>
      <c r="U27" s="12" t="str">
        <f t="shared" si="3"/>
        <v/>
      </c>
    </row>
    <row r="28" spans="1:21" ht="15">
      <c r="A28" s="16"/>
      <c r="B28" s="25"/>
      <c r="C28" s="26"/>
      <c r="D28" s="32"/>
      <c r="E28" s="33"/>
      <c r="F28" s="30"/>
      <c r="G28" s="22"/>
      <c r="H28" s="28"/>
      <c r="I28" s="24"/>
      <c r="J28" s="30"/>
      <c r="K28" s="31"/>
      <c r="L28" s="30"/>
      <c r="M28" s="9" t="str">
        <f t="shared" si="2"/>
        <v/>
      </c>
      <c r="N28" s="14"/>
      <c r="O28" s="14"/>
      <c r="P28" s="14"/>
      <c r="Q28" s="14"/>
      <c r="R28" s="11"/>
      <c r="S28" s="11"/>
      <c r="T28" s="11"/>
      <c r="U28" s="12" t="str">
        <f t="shared" si="3"/>
        <v/>
      </c>
    </row>
    <row r="29" spans="1:21" ht="15">
      <c r="A29" s="16"/>
      <c r="B29" s="25"/>
      <c r="C29" s="26"/>
      <c r="D29" s="19"/>
      <c r="E29" s="20"/>
      <c r="F29" s="21"/>
      <c r="G29" s="22"/>
      <c r="H29" s="20"/>
      <c r="I29" s="24"/>
      <c r="J29" s="21"/>
      <c r="K29" s="24"/>
      <c r="L29" s="21"/>
      <c r="M29" s="9" t="str">
        <f t="shared" si="2"/>
        <v/>
      </c>
      <c r="N29" s="14"/>
      <c r="O29" s="14"/>
      <c r="P29" s="14"/>
      <c r="Q29" s="14"/>
      <c r="R29" s="11"/>
      <c r="S29" s="11"/>
      <c r="T29" s="11"/>
      <c r="U29" s="12" t="str">
        <f t="shared" si="3"/>
        <v/>
      </c>
    </row>
    <row r="30" spans="1:21" ht="15">
      <c r="A30" s="16"/>
      <c r="B30" s="33"/>
      <c r="C30" s="34"/>
      <c r="D30" s="19"/>
      <c r="E30" s="20"/>
      <c r="F30" s="21"/>
      <c r="G30" s="22"/>
      <c r="H30" s="23"/>
      <c r="I30" s="24"/>
      <c r="J30" s="21"/>
      <c r="K30" s="24"/>
      <c r="L30" s="21"/>
      <c r="M30" s="9" t="str">
        <f t="shared" si="2"/>
        <v/>
      </c>
      <c r="N30" s="14"/>
      <c r="O30" s="14"/>
      <c r="P30" s="14"/>
      <c r="Q30" s="14"/>
      <c r="R30" s="11"/>
      <c r="S30" s="11"/>
      <c r="T30" s="11"/>
      <c r="U30" s="12" t="str">
        <f t="shared" si="3"/>
        <v/>
      </c>
    </row>
    <row r="31" spans="1:21" ht="15">
      <c r="A31" s="16"/>
      <c r="B31" s="33"/>
      <c r="C31" s="34"/>
      <c r="D31" s="19"/>
      <c r="E31" s="20"/>
      <c r="F31" s="21"/>
      <c r="G31" s="22"/>
      <c r="H31" s="20"/>
      <c r="I31" s="24"/>
      <c r="J31" s="21"/>
      <c r="K31" s="24"/>
      <c r="L31" s="21"/>
      <c r="M31" s="9" t="str">
        <f t="shared" si="2"/>
        <v/>
      </c>
      <c r="N31" s="14"/>
      <c r="O31" s="14"/>
      <c r="P31" s="14"/>
      <c r="Q31" s="14"/>
      <c r="R31" s="11"/>
      <c r="S31" s="11"/>
      <c r="T31" s="11"/>
      <c r="U31" s="12" t="str">
        <f t="shared" si="3"/>
        <v/>
      </c>
    </row>
    <row r="32" spans="1:21" ht="15">
      <c r="A32" s="16"/>
      <c r="B32" s="33"/>
      <c r="C32" s="34"/>
      <c r="D32" s="19"/>
      <c r="E32" s="20"/>
      <c r="F32" s="21"/>
      <c r="G32" s="22"/>
      <c r="H32" s="20"/>
      <c r="I32" s="24"/>
      <c r="J32" s="21"/>
      <c r="K32" s="24"/>
      <c r="L32" s="21"/>
      <c r="M32" s="9" t="str">
        <f t="shared" si="2"/>
        <v/>
      </c>
      <c r="N32" s="14"/>
      <c r="O32" s="14"/>
      <c r="P32" s="14"/>
      <c r="Q32" s="14"/>
      <c r="R32" s="11"/>
      <c r="S32" s="11"/>
      <c r="T32" s="11"/>
      <c r="U32" s="12" t="str">
        <f t="shared" si="3"/>
        <v/>
      </c>
    </row>
    <row r="33" spans="1:21" ht="15">
      <c r="A33" s="16"/>
      <c r="B33" s="33"/>
      <c r="C33" s="34"/>
      <c r="D33" s="19"/>
      <c r="E33" s="20"/>
      <c r="F33" s="21"/>
      <c r="G33" s="22"/>
      <c r="H33" s="20"/>
      <c r="I33" s="24"/>
      <c r="J33" s="21"/>
      <c r="K33" s="24"/>
      <c r="L33" s="21"/>
      <c r="M33" s="9" t="str">
        <f t="shared" si="2"/>
        <v/>
      </c>
      <c r="N33" s="14"/>
      <c r="O33" s="14"/>
      <c r="P33" s="14"/>
      <c r="Q33" s="14"/>
      <c r="R33" s="11"/>
      <c r="S33" s="11"/>
      <c r="T33" s="11"/>
      <c r="U33" s="12" t="str">
        <f t="shared" si="3"/>
        <v/>
      </c>
    </row>
    <row r="34" spans="1:21" ht="15">
      <c r="A34" s="16"/>
      <c r="B34" s="17"/>
      <c r="C34" s="18"/>
      <c r="D34" s="19"/>
      <c r="E34" s="20"/>
      <c r="F34" s="21"/>
      <c r="G34" s="22"/>
      <c r="H34" s="23"/>
      <c r="I34" s="24"/>
      <c r="J34" s="21"/>
      <c r="K34" s="24"/>
      <c r="L34" s="21"/>
      <c r="M34" s="9" t="str">
        <f t="shared" si="2"/>
        <v/>
      </c>
      <c r="N34" s="14"/>
      <c r="O34" s="14"/>
      <c r="P34" s="14"/>
      <c r="Q34" s="15"/>
      <c r="R34" s="11"/>
      <c r="S34" s="11"/>
      <c r="T34" s="11"/>
      <c r="U34" s="12" t="str">
        <f t="shared" si="3"/>
        <v/>
      </c>
    </row>
    <row r="35" spans="1:21" ht="15">
      <c r="A35" s="16"/>
      <c r="B35" s="17"/>
      <c r="C35" s="18"/>
      <c r="D35" s="19"/>
      <c r="E35" s="20"/>
      <c r="F35" s="21"/>
      <c r="G35" s="22"/>
      <c r="H35" s="23"/>
      <c r="I35" s="24"/>
      <c r="J35" s="21"/>
      <c r="K35" s="24"/>
      <c r="L35" s="21"/>
      <c r="M35" s="9" t="str">
        <f t="shared" si="2"/>
        <v/>
      </c>
      <c r="N35" s="14"/>
      <c r="O35" s="14"/>
      <c r="P35" s="14"/>
      <c r="Q35" s="14"/>
      <c r="R35" s="11"/>
      <c r="S35" s="11"/>
      <c r="T35" s="11"/>
      <c r="U35" s="12" t="str">
        <f t="shared" si="3"/>
        <v/>
      </c>
    </row>
    <row r="36" spans="1:21" ht="15">
      <c r="A36" s="16"/>
      <c r="B36" s="17"/>
      <c r="C36" s="18"/>
      <c r="D36" s="19"/>
      <c r="E36" s="20"/>
      <c r="F36" s="21"/>
      <c r="G36" s="22"/>
      <c r="H36" s="23"/>
      <c r="I36" s="24"/>
      <c r="J36" s="21"/>
      <c r="K36" s="24"/>
      <c r="L36" s="21"/>
      <c r="M36" s="9" t="str">
        <f t="shared" si="2"/>
        <v/>
      </c>
      <c r="N36" s="14"/>
      <c r="O36" s="14"/>
      <c r="P36" s="14"/>
      <c r="Q36" s="15"/>
      <c r="R36" s="11"/>
      <c r="S36" s="11"/>
      <c r="T36" s="11"/>
      <c r="U36" s="12" t="str">
        <f t="shared" si="3"/>
        <v/>
      </c>
    </row>
    <row r="37" spans="1:21" ht="15">
      <c r="A37" s="16"/>
      <c r="B37" s="17"/>
      <c r="C37" s="18"/>
      <c r="D37" s="19"/>
      <c r="E37" s="20"/>
      <c r="F37" s="21"/>
      <c r="G37" s="22"/>
      <c r="H37" s="23"/>
      <c r="I37" s="24"/>
      <c r="J37" s="21"/>
      <c r="K37" s="24"/>
      <c r="L37" s="21"/>
      <c r="M37" s="9" t="str">
        <f t="shared" si="2"/>
        <v/>
      </c>
      <c r="N37" s="14"/>
      <c r="O37" s="14"/>
      <c r="P37" s="14"/>
      <c r="Q37" s="14"/>
      <c r="R37" s="11"/>
      <c r="S37" s="11"/>
      <c r="T37" s="11"/>
      <c r="U37" s="12" t="str">
        <f t="shared" si="3"/>
        <v/>
      </c>
    </row>
    <row r="38" spans="1:21" ht="15">
      <c r="A38" s="16"/>
      <c r="B38" s="17"/>
      <c r="C38" s="18"/>
      <c r="D38" s="19"/>
      <c r="E38" s="20"/>
      <c r="F38" s="21"/>
      <c r="G38" s="22"/>
      <c r="H38" s="23"/>
      <c r="I38" s="24"/>
      <c r="J38" s="21"/>
      <c r="K38" s="24"/>
      <c r="L38" s="21"/>
      <c r="M38" s="9" t="str">
        <f t="shared" si="2"/>
        <v/>
      </c>
      <c r="N38" s="14"/>
      <c r="O38" s="14"/>
      <c r="P38" s="14"/>
      <c r="Q38" s="15"/>
      <c r="R38" s="11"/>
      <c r="S38" s="11"/>
      <c r="T38" s="11"/>
      <c r="U38" s="12" t="str">
        <f t="shared" si="3"/>
        <v/>
      </c>
    </row>
    <row r="39" spans="1:21" ht="15">
      <c r="A39" s="16"/>
      <c r="B39" s="17"/>
      <c r="C39" s="18"/>
      <c r="D39" s="19"/>
      <c r="E39" s="20"/>
      <c r="F39" s="21"/>
      <c r="G39" s="22"/>
      <c r="H39" s="23"/>
      <c r="I39" s="24"/>
      <c r="J39" s="21"/>
      <c r="K39" s="24"/>
      <c r="L39" s="21"/>
      <c r="M39" s="9" t="str">
        <f t="shared" si="2"/>
        <v/>
      </c>
      <c r="N39" s="14"/>
      <c r="O39" s="14"/>
      <c r="P39" s="14"/>
      <c r="Q39" s="15"/>
      <c r="R39" s="11"/>
      <c r="S39" s="11"/>
      <c r="T39" s="11"/>
      <c r="U39" s="12" t="str">
        <f t="shared" si="3"/>
        <v/>
      </c>
    </row>
    <row r="40" spans="1:21" ht="15">
      <c r="A40" s="16"/>
      <c r="B40" s="35"/>
      <c r="C40" s="18"/>
      <c r="D40" s="19"/>
      <c r="E40" s="20"/>
      <c r="F40" s="21"/>
      <c r="G40" s="22"/>
      <c r="H40" s="23"/>
      <c r="I40" s="24"/>
      <c r="J40" s="21"/>
      <c r="K40" s="24"/>
      <c r="L40" s="21"/>
      <c r="M40" s="9" t="str">
        <f t="shared" si="2"/>
        <v/>
      </c>
      <c r="N40" s="14"/>
      <c r="O40" s="14"/>
      <c r="P40" s="14"/>
      <c r="Q40" s="15"/>
      <c r="R40" s="11"/>
      <c r="S40" s="11"/>
      <c r="T40" s="11"/>
      <c r="U40" s="12" t="str">
        <f t="shared" si="3"/>
        <v/>
      </c>
    </row>
    <row r="41" spans="1:21" ht="15">
      <c r="A41" s="16"/>
      <c r="B41" s="35"/>
      <c r="C41" s="18"/>
      <c r="D41" s="19"/>
      <c r="E41" s="20"/>
      <c r="F41" s="21"/>
      <c r="G41" s="22"/>
      <c r="H41" s="23"/>
      <c r="I41" s="24"/>
      <c r="J41" s="21"/>
      <c r="K41" s="24"/>
      <c r="L41" s="21"/>
      <c r="M41" s="9" t="str">
        <f t="shared" si="2"/>
        <v/>
      </c>
      <c r="N41" s="14"/>
      <c r="O41" s="14"/>
      <c r="P41" s="14"/>
      <c r="Q41" s="15"/>
      <c r="R41" s="11"/>
      <c r="S41" s="11"/>
      <c r="T41" s="11"/>
      <c r="U41" s="12" t="str">
        <f t="shared" si="3"/>
        <v/>
      </c>
    </row>
    <row r="42" spans="1:21" ht="15">
      <c r="A42" s="36"/>
      <c r="B42" s="35"/>
      <c r="C42" s="18"/>
      <c r="D42" s="19"/>
      <c r="E42" s="20"/>
      <c r="F42" s="21"/>
      <c r="G42" s="22"/>
      <c r="H42" s="23"/>
      <c r="I42" s="24"/>
      <c r="J42" s="21"/>
      <c r="K42" s="24"/>
      <c r="L42" s="21"/>
      <c r="M42" s="9" t="str">
        <f t="shared" si="2"/>
        <v/>
      </c>
      <c r="N42" s="14"/>
      <c r="O42" s="14"/>
      <c r="P42" s="14"/>
      <c r="Q42" s="15"/>
      <c r="R42" s="11"/>
      <c r="S42" s="11"/>
      <c r="T42" s="11"/>
      <c r="U42" s="12" t="str">
        <f t="shared" si="3"/>
        <v/>
      </c>
    </row>
    <row r="43" spans="1:21" ht="15">
      <c r="A43" s="36"/>
      <c r="B43" s="35"/>
      <c r="C43" s="18"/>
      <c r="D43" s="19"/>
      <c r="E43" s="20"/>
      <c r="F43" s="21"/>
      <c r="G43" s="22"/>
      <c r="H43" s="20"/>
      <c r="I43" s="24"/>
      <c r="J43" s="21"/>
      <c r="K43" s="24"/>
      <c r="L43" s="21"/>
      <c r="M43" s="9" t="str">
        <f t="shared" si="2"/>
        <v/>
      </c>
      <c r="N43" s="14"/>
      <c r="O43" s="14"/>
      <c r="P43" s="14"/>
      <c r="Q43" s="15"/>
      <c r="R43" s="11"/>
      <c r="S43" s="11"/>
      <c r="T43" s="11"/>
      <c r="U43" s="12" t="str">
        <f t="shared" si="3"/>
        <v/>
      </c>
    </row>
    <row r="44" spans="1:21" ht="15.75" thickBot="1">
      <c r="A44" s="37"/>
      <c r="B44" s="38"/>
      <c r="C44" s="39"/>
      <c r="D44" s="40"/>
      <c r="E44" s="41"/>
      <c r="F44" s="42"/>
      <c r="G44" s="43"/>
      <c r="H44" s="44"/>
      <c r="I44" s="45"/>
      <c r="J44" s="42"/>
      <c r="K44" s="45"/>
      <c r="L44" s="42"/>
      <c r="M44" s="9" t="str">
        <f t="shared" si="2"/>
        <v/>
      </c>
      <c r="N44" s="46"/>
      <c r="O44" s="46"/>
      <c r="P44" s="46"/>
      <c r="Q44" s="47"/>
      <c r="R44" s="48"/>
      <c r="S44" s="48"/>
      <c r="T44" s="48"/>
      <c r="U44" s="12" t="str">
        <f t="shared" si="3"/>
        <v/>
      </c>
    </row>
  </sheetData>
  <mergeCells count="27">
    <mergeCell ref="P7:P8"/>
    <mergeCell ref="A2:U2"/>
    <mergeCell ref="A3:U3"/>
    <mergeCell ref="A4:B4"/>
    <mergeCell ref="C4:D4"/>
    <mergeCell ref="F4:M4"/>
    <mergeCell ref="O4:U4"/>
    <mergeCell ref="F7:F8"/>
    <mergeCell ref="A5:B5"/>
    <mergeCell ref="C5:D5"/>
    <mergeCell ref="F5:M5"/>
    <mergeCell ref="O5:U5"/>
    <mergeCell ref="A6:B6"/>
    <mergeCell ref="C6:M6"/>
    <mergeCell ref="R6:U6"/>
    <mergeCell ref="A7:A8"/>
    <mergeCell ref="B7:B8"/>
    <mergeCell ref="C7:C8"/>
    <mergeCell ref="D7:D8"/>
    <mergeCell ref="E7:E8"/>
    <mergeCell ref="Q7:U7"/>
    <mergeCell ref="G7:G8"/>
    <mergeCell ref="H7:H8"/>
    <mergeCell ref="I7:L7"/>
    <mergeCell ref="M7:M8"/>
    <mergeCell ref="N7:N8"/>
    <mergeCell ref="O7:O8"/>
  </mergeCells>
  <conditionalFormatting sqref="M9:M44">
    <cfRule type="cellIs" dxfId="47" priority="71" operator="greaterThan">
      <formula>100</formula>
    </cfRule>
  </conditionalFormatting>
  <conditionalFormatting sqref="U9:U44">
    <cfRule type="cellIs" dxfId="46" priority="70" operator="greaterThan">
      <formula>100</formula>
    </cfRule>
  </conditionalFormatting>
  <conditionalFormatting sqref="G9:G44">
    <cfRule type="cellIs" dxfId="45" priority="67" operator="equal">
      <formula>"VM"</formula>
    </cfRule>
    <cfRule type="cellIs" dxfId="44" priority="68" operator="equal">
      <formula>"vc"</formula>
    </cfRule>
    <cfRule type="cellIs" dxfId="43" priority="69" stopIfTrue="1" operator="equal">
      <formula>"vs"</formula>
    </cfRule>
  </conditionalFormatting>
  <conditionalFormatting sqref="G9:G44">
    <cfRule type="cellIs" dxfId="42" priority="66" operator="equal">
      <formula>"Std"</formula>
    </cfRule>
  </conditionalFormatting>
  <conditionalFormatting sqref="U25">
    <cfRule type="cellIs" dxfId="41" priority="59" operator="greaterThan">
      <formula>100</formula>
    </cfRule>
  </conditionalFormatting>
  <conditionalFormatting sqref="M9:M44 U9:U44">
    <cfRule type="cellIs" dxfId="40" priority="54" operator="lessThan">
      <formula>100</formula>
    </cfRule>
    <cfRule type="cellIs" dxfId="39" priority="55" operator="greaterThan">
      <formula>100</formula>
    </cfRule>
  </conditionalFormatting>
  <pageMargins left="0.78740157499999996" right="0.78740157499999996" top="0.984251969" bottom="0.984251969" header="0.5" footer="0.5"/>
  <pageSetup paperSize="9" scale="26" orientation="portrait" r:id="rId1"/>
  <headerFooter alignWithMargins="0">
    <oddFooter>&amp;L&amp;F &amp;A&amp;C&amp;P / &amp;N&amp;RSQA, &amp;D &amp;T</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7189F-BC46-4DF1-A18A-BF7791E714D8}">
  <sheetPr>
    <tabColor theme="4" tint="0.39997558519241921"/>
  </sheetPr>
  <dimension ref="A1:T103"/>
  <sheetViews>
    <sheetView view="pageBreakPreview" zoomScale="80" zoomScaleNormal="100" zoomScaleSheetLayoutView="80" workbookViewId="0">
      <selection activeCell="I28" sqref="I28"/>
    </sheetView>
  </sheetViews>
  <sheetFormatPr defaultColWidth="11.42578125" defaultRowHeight="12.75"/>
  <cols>
    <col min="1" max="1" width="17.5703125" customWidth="1"/>
    <col min="2" max="2" width="17.28515625" customWidth="1"/>
    <col min="3" max="3" width="16" customWidth="1"/>
    <col min="4" max="4" width="7.7109375" customWidth="1"/>
    <col min="5" max="5" width="30" customWidth="1"/>
    <col min="6" max="6" width="7.28515625" customWidth="1"/>
    <col min="7" max="7" width="6.5703125" customWidth="1"/>
    <col min="8" max="8" width="17.140625" customWidth="1"/>
    <col min="9" max="9" width="15.140625" customWidth="1"/>
    <col min="10" max="10" width="6.28515625" customWidth="1"/>
    <col min="11" max="11" width="13.7109375" customWidth="1"/>
    <col min="12" max="12" width="6.28515625" customWidth="1"/>
    <col min="13" max="13" width="6.42578125" customWidth="1"/>
    <col min="14" max="14" width="30.28515625" customWidth="1"/>
    <col min="15" max="15" width="26" customWidth="1"/>
    <col min="16" max="16" width="15" customWidth="1"/>
    <col min="17" max="17" width="5" customWidth="1"/>
    <col min="18" max="18" width="4.85546875" customWidth="1"/>
    <col min="19" max="19" width="4.7109375" customWidth="1"/>
    <col min="20" max="20" width="6.28515625" customWidth="1"/>
  </cols>
  <sheetData>
    <row r="1" spans="1:20" ht="15" customHeight="1" thickBot="1">
      <c r="A1" s="58"/>
      <c r="B1" s="59"/>
      <c r="C1" s="59"/>
      <c r="D1" s="59"/>
      <c r="E1" s="59"/>
      <c r="F1" s="59"/>
      <c r="G1" s="59"/>
      <c r="H1" s="59"/>
      <c r="I1" s="59"/>
      <c r="J1" s="59"/>
      <c r="K1" s="59"/>
      <c r="L1" s="59"/>
      <c r="M1" s="59"/>
      <c r="N1" s="59"/>
      <c r="O1" s="59"/>
      <c r="P1" s="59"/>
      <c r="Q1" s="59"/>
      <c r="R1" s="59"/>
      <c r="S1" s="59"/>
      <c r="T1" s="59"/>
    </row>
    <row r="2" spans="1:20" ht="21" thickBot="1">
      <c r="A2" s="664" t="s">
        <v>45</v>
      </c>
      <c r="B2" s="665"/>
      <c r="C2" s="665"/>
      <c r="D2" s="665"/>
      <c r="E2" s="665"/>
      <c r="F2" s="665"/>
      <c r="G2" s="665"/>
      <c r="H2" s="665"/>
      <c r="I2" s="665"/>
      <c r="J2" s="665"/>
      <c r="K2" s="665"/>
      <c r="L2" s="665"/>
      <c r="M2" s="665"/>
      <c r="N2" s="665"/>
      <c r="O2" s="665"/>
      <c r="P2" s="665"/>
      <c r="Q2" s="665"/>
      <c r="R2" s="665"/>
      <c r="S2" s="665"/>
      <c r="T2" s="665"/>
    </row>
    <row r="3" spans="1:20" ht="20.25" customHeight="1">
      <c r="A3" s="666" t="s">
        <v>53</v>
      </c>
      <c r="B3" s="667"/>
      <c r="C3" s="667"/>
      <c r="D3" s="667"/>
      <c r="E3" s="667"/>
      <c r="F3" s="667"/>
      <c r="G3" s="667"/>
      <c r="H3" s="667"/>
      <c r="I3" s="667"/>
      <c r="J3" s="667"/>
      <c r="K3" s="667"/>
      <c r="L3" s="667"/>
      <c r="M3" s="667"/>
      <c r="N3" s="667"/>
      <c r="O3" s="667"/>
      <c r="P3" s="667"/>
      <c r="Q3" s="667"/>
      <c r="R3" s="667"/>
      <c r="S3" s="667"/>
      <c r="T3" s="668"/>
    </row>
    <row r="4" spans="1:20" ht="20.25">
      <c r="A4" s="99" t="s">
        <v>54</v>
      </c>
      <c r="B4" s="118"/>
      <c r="C4" s="119"/>
      <c r="D4" s="100"/>
      <c r="E4" s="101"/>
      <c r="F4" s="102"/>
      <c r="G4" s="102"/>
      <c r="H4" s="103"/>
      <c r="I4" s="103"/>
      <c r="J4" s="103"/>
      <c r="K4" s="104"/>
      <c r="L4" s="105"/>
      <c r="M4" s="105"/>
      <c r="N4" s="106"/>
      <c r="O4" s="105"/>
      <c r="P4" s="105"/>
      <c r="Q4" s="105"/>
      <c r="R4" s="105"/>
      <c r="S4" s="105"/>
      <c r="T4" s="107"/>
    </row>
    <row r="5" spans="1:20" ht="20.25">
      <c r="A5" s="99" t="s">
        <v>55</v>
      </c>
      <c r="B5" s="118"/>
      <c r="C5" s="119"/>
      <c r="D5" s="100"/>
      <c r="E5" s="108"/>
      <c r="F5" s="102"/>
      <c r="G5" s="102"/>
      <c r="H5" s="108"/>
      <c r="I5" s="105"/>
      <c r="J5" s="105"/>
      <c r="K5" s="105"/>
      <c r="L5" s="105"/>
      <c r="M5" s="105"/>
      <c r="N5" s="109" t="s">
        <v>56</v>
      </c>
      <c r="O5" s="123" t="s">
        <v>57</v>
      </c>
      <c r="P5" s="126"/>
      <c r="Q5" s="105"/>
      <c r="R5" s="105"/>
      <c r="S5" s="105"/>
      <c r="T5" s="107"/>
    </row>
    <row r="6" spans="1:20">
      <c r="A6" s="99" t="s">
        <v>58</v>
      </c>
      <c r="B6" s="120"/>
      <c r="C6" s="120"/>
      <c r="D6" s="110"/>
      <c r="E6" s="105"/>
      <c r="F6" s="669" t="s">
        <v>59</v>
      </c>
      <c r="G6" s="669"/>
      <c r="H6" s="121"/>
      <c r="I6" s="122"/>
      <c r="J6" s="105"/>
      <c r="K6" s="105"/>
      <c r="L6" s="105"/>
      <c r="M6" s="105"/>
      <c r="N6" s="109" t="s">
        <v>60</v>
      </c>
      <c r="O6" s="121"/>
      <c r="P6" s="127"/>
      <c r="Q6" s="105"/>
      <c r="R6" s="105"/>
      <c r="S6" s="105"/>
      <c r="T6" s="107"/>
    </row>
    <row r="7" spans="1:20" ht="25.5">
      <c r="A7" s="111" t="s">
        <v>61</v>
      </c>
      <c r="B7" s="670"/>
      <c r="C7" s="670"/>
      <c r="D7" s="112"/>
      <c r="E7" s="105"/>
      <c r="F7" s="109"/>
      <c r="G7" s="109"/>
      <c r="H7" s="105"/>
      <c r="I7" s="105"/>
      <c r="J7" s="105"/>
      <c r="K7" s="105"/>
      <c r="L7" s="105"/>
      <c r="M7" s="105"/>
      <c r="N7" s="109" t="s">
        <v>62</v>
      </c>
      <c r="O7" s="124"/>
      <c r="P7" s="128"/>
      <c r="Q7" s="105"/>
      <c r="R7" s="105"/>
      <c r="S7" s="105"/>
      <c r="T7" s="107"/>
    </row>
    <row r="8" spans="1:20">
      <c r="A8" s="99" t="s">
        <v>63</v>
      </c>
      <c r="B8" s="118"/>
      <c r="C8" s="119"/>
      <c r="D8" s="119"/>
      <c r="E8" s="105"/>
      <c r="F8" s="671" t="s">
        <v>64</v>
      </c>
      <c r="G8" s="671"/>
      <c r="H8" s="122"/>
      <c r="I8" s="122"/>
      <c r="J8" s="105"/>
      <c r="K8" s="105"/>
      <c r="L8" s="105"/>
      <c r="M8" s="105"/>
      <c r="N8" s="109" t="s">
        <v>65</v>
      </c>
      <c r="O8" s="125"/>
      <c r="P8" s="129"/>
      <c r="Q8" s="113"/>
      <c r="R8" s="113"/>
      <c r="S8" s="113"/>
      <c r="T8" s="107"/>
    </row>
    <row r="9" spans="1:20" ht="13.5" thickBot="1">
      <c r="A9" s="114"/>
      <c r="B9" s="115"/>
      <c r="C9" s="116"/>
      <c r="D9" s="116"/>
      <c r="E9" s="116"/>
      <c r="F9" s="116"/>
      <c r="G9" s="116"/>
      <c r="H9" s="116"/>
      <c r="I9" s="116"/>
      <c r="J9" s="116"/>
      <c r="K9" s="116"/>
      <c r="L9" s="116"/>
      <c r="M9" s="116"/>
      <c r="N9" s="116"/>
      <c r="O9" s="116"/>
      <c r="P9" s="116"/>
      <c r="Q9" s="116"/>
      <c r="R9" s="116"/>
      <c r="S9" s="116"/>
      <c r="T9" s="117"/>
    </row>
    <row r="10" spans="1:20" ht="16.5" customHeight="1">
      <c r="A10" s="658" t="s">
        <v>66</v>
      </c>
      <c r="B10" s="658" t="s">
        <v>67</v>
      </c>
      <c r="C10" s="660" t="s">
        <v>14</v>
      </c>
      <c r="D10" s="662" t="s">
        <v>15</v>
      </c>
      <c r="E10" s="675" t="s">
        <v>13</v>
      </c>
      <c r="F10" s="662" t="s">
        <v>71</v>
      </c>
      <c r="G10" s="662" t="s">
        <v>16</v>
      </c>
      <c r="H10" s="675" t="s">
        <v>17</v>
      </c>
      <c r="I10" s="677" t="s">
        <v>68</v>
      </c>
      <c r="J10" s="678"/>
      <c r="K10" s="678"/>
      <c r="L10" s="679"/>
      <c r="M10" s="680" t="s">
        <v>19</v>
      </c>
      <c r="N10" s="675" t="s">
        <v>20</v>
      </c>
      <c r="O10" s="682" t="s">
        <v>69</v>
      </c>
      <c r="P10" s="672" t="s">
        <v>21</v>
      </c>
      <c r="Q10" s="673"/>
      <c r="R10" s="673"/>
      <c r="S10" s="673"/>
      <c r="T10" s="674"/>
    </row>
    <row r="11" spans="1:20" ht="75" customHeight="1" thickBot="1">
      <c r="A11" s="659"/>
      <c r="B11" s="659"/>
      <c r="C11" s="661"/>
      <c r="D11" s="663"/>
      <c r="E11" s="676"/>
      <c r="F11" s="663"/>
      <c r="G11" s="663"/>
      <c r="H11" s="676"/>
      <c r="I11" s="130" t="s">
        <v>22</v>
      </c>
      <c r="J11" s="131" t="s">
        <v>27</v>
      </c>
      <c r="K11" s="130" t="s">
        <v>24</v>
      </c>
      <c r="L11" s="131" t="s">
        <v>25</v>
      </c>
      <c r="M11" s="681"/>
      <c r="N11" s="676"/>
      <c r="O11" s="683"/>
      <c r="P11" s="132" t="s">
        <v>70</v>
      </c>
      <c r="Q11" s="131" t="s">
        <v>15</v>
      </c>
      <c r="R11" s="131" t="s">
        <v>27</v>
      </c>
      <c r="S11" s="131" t="s">
        <v>25</v>
      </c>
      <c r="T11" s="133" t="s">
        <v>19</v>
      </c>
    </row>
    <row r="12" spans="1:20" ht="13.5" customHeight="1">
      <c r="A12" s="60"/>
      <c r="B12" s="61"/>
      <c r="C12" s="62"/>
      <c r="D12" s="64"/>
      <c r="E12" s="63"/>
      <c r="F12" s="138"/>
      <c r="G12" s="134"/>
      <c r="H12" s="62"/>
      <c r="I12" s="62"/>
      <c r="J12" s="64"/>
      <c r="K12" s="62"/>
      <c r="L12" s="64"/>
      <c r="M12" s="65" t="str">
        <f>IF(D12*J12*L12=0,"",D12*J12*L12)</f>
        <v/>
      </c>
      <c r="N12" s="62"/>
      <c r="O12" s="66"/>
      <c r="P12" s="60"/>
      <c r="Q12" s="67"/>
      <c r="R12" s="67"/>
      <c r="S12" s="67"/>
      <c r="T12" s="68" t="str">
        <f>IF(Q12*R12*S12=0,"",Q12*R12*S12)</f>
        <v/>
      </c>
    </row>
    <row r="13" spans="1:20">
      <c r="A13" s="69"/>
      <c r="B13" s="70"/>
      <c r="C13" s="67"/>
      <c r="D13" s="64"/>
      <c r="E13" s="63"/>
      <c r="F13" s="138"/>
      <c r="G13" s="134"/>
      <c r="H13" s="67"/>
      <c r="I13" s="67"/>
      <c r="J13" s="64"/>
      <c r="K13" s="67"/>
      <c r="L13" s="64"/>
      <c r="M13" s="65" t="str">
        <f>IF(D13*J13*L13=0,"",D13*J13*L13)</f>
        <v/>
      </c>
      <c r="N13" s="67"/>
      <c r="O13" s="71"/>
      <c r="P13" s="72"/>
      <c r="Q13" s="67"/>
      <c r="R13" s="67"/>
      <c r="S13" s="67"/>
      <c r="T13" s="68" t="str">
        <f t="shared" ref="T13:T76" si="0">IF(Q13*R13*S13=0,"",Q13*R13*S13)</f>
        <v/>
      </c>
    </row>
    <row r="14" spans="1:20">
      <c r="A14" s="69"/>
      <c r="B14" s="70"/>
      <c r="C14" s="67"/>
      <c r="D14" s="64">
        <v>1</v>
      </c>
      <c r="E14" s="63"/>
      <c r="F14" s="138"/>
      <c r="G14" s="134"/>
      <c r="H14" s="67"/>
      <c r="I14" s="67"/>
      <c r="J14" s="64">
        <v>1</v>
      </c>
      <c r="K14" s="67"/>
      <c r="L14" s="64">
        <v>1</v>
      </c>
      <c r="M14" s="65">
        <f>IF(D14*J14*L14=0,"",D14*J14*L14)</f>
        <v>1</v>
      </c>
      <c r="N14" s="67"/>
      <c r="O14" s="71"/>
      <c r="P14" s="72"/>
      <c r="Q14" s="67">
        <v>1</v>
      </c>
      <c r="R14" s="67">
        <v>1</v>
      </c>
      <c r="S14" s="67">
        <v>1</v>
      </c>
      <c r="T14" s="68">
        <f t="shared" si="0"/>
        <v>1</v>
      </c>
    </row>
    <row r="15" spans="1:20">
      <c r="A15" s="69"/>
      <c r="B15" s="67"/>
      <c r="C15" s="67"/>
      <c r="D15" s="64"/>
      <c r="E15" s="63"/>
      <c r="F15" s="138"/>
      <c r="G15" s="134"/>
      <c r="H15" s="67"/>
      <c r="I15" s="67"/>
      <c r="J15" s="64"/>
      <c r="K15" s="67"/>
      <c r="L15" s="64"/>
      <c r="M15" s="65" t="str">
        <f t="shared" ref="M15:M78" si="1">IF(D15*J15*L15=0,"",D15*J15*L15)</f>
        <v/>
      </c>
      <c r="N15" s="67"/>
      <c r="O15" s="71"/>
      <c r="P15" s="72"/>
      <c r="Q15" s="67"/>
      <c r="R15" s="67"/>
      <c r="S15" s="67"/>
      <c r="T15" s="68" t="str">
        <f t="shared" si="0"/>
        <v/>
      </c>
    </row>
    <row r="16" spans="1:20">
      <c r="A16" s="69"/>
      <c r="B16" s="70"/>
      <c r="C16" s="67"/>
      <c r="D16" s="64"/>
      <c r="E16" s="63"/>
      <c r="F16" s="138"/>
      <c r="G16" s="134"/>
      <c r="H16" s="67"/>
      <c r="I16" s="67"/>
      <c r="J16" s="64"/>
      <c r="K16" s="67"/>
      <c r="L16" s="64"/>
      <c r="M16" s="65" t="str">
        <f t="shared" si="1"/>
        <v/>
      </c>
      <c r="N16" s="67"/>
      <c r="O16" s="71"/>
      <c r="P16" s="72"/>
      <c r="Q16" s="67"/>
      <c r="R16" s="67"/>
      <c r="S16" s="67"/>
      <c r="T16" s="68" t="str">
        <f t="shared" si="0"/>
        <v/>
      </c>
    </row>
    <row r="17" spans="1:20">
      <c r="A17" s="69"/>
      <c r="B17" s="70"/>
      <c r="C17" s="67"/>
      <c r="D17" s="64"/>
      <c r="E17" s="63"/>
      <c r="F17" s="138"/>
      <c r="G17" s="134"/>
      <c r="H17" s="67"/>
      <c r="I17" s="67"/>
      <c r="J17" s="64"/>
      <c r="K17" s="67"/>
      <c r="L17" s="64"/>
      <c r="M17" s="65" t="str">
        <f t="shared" si="1"/>
        <v/>
      </c>
      <c r="N17" s="67"/>
      <c r="O17" s="71"/>
      <c r="P17" s="72"/>
      <c r="Q17" s="67"/>
      <c r="R17" s="67"/>
      <c r="S17" s="67"/>
      <c r="T17" s="68" t="str">
        <f t="shared" si="0"/>
        <v/>
      </c>
    </row>
    <row r="18" spans="1:20">
      <c r="A18" s="69"/>
      <c r="B18" s="70"/>
      <c r="C18" s="67"/>
      <c r="D18" s="64"/>
      <c r="E18" s="63"/>
      <c r="F18" s="138"/>
      <c r="G18" s="134"/>
      <c r="H18" s="67"/>
      <c r="I18" s="67"/>
      <c r="J18" s="64"/>
      <c r="K18" s="67"/>
      <c r="L18" s="64"/>
      <c r="M18" s="65" t="str">
        <f t="shared" si="1"/>
        <v/>
      </c>
      <c r="N18" s="67"/>
      <c r="O18" s="71"/>
      <c r="P18" s="72"/>
      <c r="Q18" s="67"/>
      <c r="R18" s="67"/>
      <c r="S18" s="67"/>
      <c r="T18" s="68" t="str">
        <f t="shared" si="0"/>
        <v/>
      </c>
    </row>
    <row r="19" spans="1:20">
      <c r="A19" s="69"/>
      <c r="B19" s="70"/>
      <c r="C19" s="67"/>
      <c r="D19" s="64"/>
      <c r="E19" s="63"/>
      <c r="F19" s="138"/>
      <c r="G19" s="134"/>
      <c r="H19" s="67"/>
      <c r="I19" s="67"/>
      <c r="J19" s="64"/>
      <c r="K19" s="67"/>
      <c r="L19" s="64"/>
      <c r="M19" s="65" t="str">
        <f t="shared" si="1"/>
        <v/>
      </c>
      <c r="N19" s="67"/>
      <c r="O19" s="71"/>
      <c r="P19" s="72"/>
      <c r="Q19" s="67"/>
      <c r="R19" s="67"/>
      <c r="S19" s="67"/>
      <c r="T19" s="68" t="str">
        <f t="shared" si="0"/>
        <v/>
      </c>
    </row>
    <row r="20" spans="1:20">
      <c r="A20" s="69"/>
      <c r="B20" s="70"/>
      <c r="C20" s="67"/>
      <c r="D20" s="64"/>
      <c r="E20" s="63"/>
      <c r="F20" s="138"/>
      <c r="G20" s="134"/>
      <c r="H20" s="67"/>
      <c r="I20" s="67"/>
      <c r="J20" s="64"/>
      <c r="K20" s="67"/>
      <c r="L20" s="64"/>
      <c r="M20" s="65" t="str">
        <f t="shared" si="1"/>
        <v/>
      </c>
      <c r="N20" s="67"/>
      <c r="O20" s="71"/>
      <c r="P20" s="72"/>
      <c r="Q20" s="67"/>
      <c r="R20" s="67"/>
      <c r="S20" s="67"/>
      <c r="T20" s="68" t="str">
        <f t="shared" si="0"/>
        <v/>
      </c>
    </row>
    <row r="21" spans="1:20">
      <c r="A21" s="69"/>
      <c r="B21" s="73"/>
      <c r="C21" s="74"/>
      <c r="D21" s="76"/>
      <c r="E21" s="75"/>
      <c r="F21" s="139"/>
      <c r="G21" s="135"/>
      <c r="H21" s="74"/>
      <c r="I21" s="77"/>
      <c r="J21" s="78"/>
      <c r="K21" s="74"/>
      <c r="L21" s="76"/>
      <c r="M21" s="65" t="str">
        <f t="shared" si="1"/>
        <v/>
      </c>
      <c r="N21" s="74"/>
      <c r="O21" s="79"/>
      <c r="P21" s="80"/>
      <c r="Q21" s="77"/>
      <c r="R21" s="77"/>
      <c r="S21" s="77"/>
      <c r="T21" s="68" t="str">
        <f t="shared" si="0"/>
        <v/>
      </c>
    </row>
    <row r="22" spans="1:20">
      <c r="A22" s="69"/>
      <c r="B22" s="73"/>
      <c r="C22" s="74"/>
      <c r="D22" s="76"/>
      <c r="E22" s="75"/>
      <c r="F22" s="139"/>
      <c r="G22" s="135"/>
      <c r="H22" s="74"/>
      <c r="I22" s="77"/>
      <c r="J22" s="78"/>
      <c r="K22" s="74"/>
      <c r="L22" s="76"/>
      <c r="M22" s="65" t="str">
        <f t="shared" si="1"/>
        <v/>
      </c>
      <c r="N22" s="74"/>
      <c r="O22" s="79"/>
      <c r="P22" s="80"/>
      <c r="Q22" s="77"/>
      <c r="R22" s="77"/>
      <c r="S22" s="77"/>
      <c r="T22" s="68" t="str">
        <f t="shared" si="0"/>
        <v/>
      </c>
    </row>
    <row r="23" spans="1:20">
      <c r="A23" s="69"/>
      <c r="B23" s="73"/>
      <c r="C23" s="74"/>
      <c r="D23" s="76"/>
      <c r="E23" s="75"/>
      <c r="F23" s="139"/>
      <c r="G23" s="135"/>
      <c r="H23" s="74"/>
      <c r="I23" s="77"/>
      <c r="J23" s="78"/>
      <c r="K23" s="74"/>
      <c r="L23" s="76"/>
      <c r="M23" s="65" t="str">
        <f t="shared" si="1"/>
        <v/>
      </c>
      <c r="N23" s="74"/>
      <c r="O23" s="79"/>
      <c r="P23" s="80"/>
      <c r="Q23" s="77"/>
      <c r="R23" s="77"/>
      <c r="S23" s="77"/>
      <c r="T23" s="68" t="str">
        <f t="shared" si="0"/>
        <v/>
      </c>
    </row>
    <row r="24" spans="1:20">
      <c r="A24" s="69"/>
      <c r="B24" s="73"/>
      <c r="C24" s="74"/>
      <c r="D24" s="76"/>
      <c r="E24" s="75"/>
      <c r="F24" s="139"/>
      <c r="G24" s="135"/>
      <c r="H24" s="74"/>
      <c r="I24" s="77"/>
      <c r="J24" s="78"/>
      <c r="K24" s="74"/>
      <c r="L24" s="76"/>
      <c r="M24" s="65" t="str">
        <f t="shared" si="1"/>
        <v/>
      </c>
      <c r="N24" s="74"/>
      <c r="O24" s="79"/>
      <c r="P24" s="80"/>
      <c r="Q24" s="77"/>
      <c r="R24" s="77"/>
      <c r="S24" s="77"/>
      <c r="T24" s="68" t="str">
        <f t="shared" si="0"/>
        <v/>
      </c>
    </row>
    <row r="25" spans="1:20">
      <c r="A25" s="69"/>
      <c r="B25" s="73"/>
      <c r="C25" s="74"/>
      <c r="D25" s="76"/>
      <c r="E25" s="75"/>
      <c r="F25" s="139"/>
      <c r="G25" s="135"/>
      <c r="H25" s="74"/>
      <c r="I25" s="77"/>
      <c r="J25" s="78"/>
      <c r="K25" s="74"/>
      <c r="L25" s="76"/>
      <c r="M25" s="65" t="str">
        <f t="shared" si="1"/>
        <v/>
      </c>
      <c r="N25" s="74"/>
      <c r="O25" s="79"/>
      <c r="P25" s="80"/>
      <c r="Q25" s="77"/>
      <c r="R25" s="77"/>
      <c r="S25" s="77"/>
      <c r="T25" s="68" t="str">
        <f t="shared" si="0"/>
        <v/>
      </c>
    </row>
    <row r="26" spans="1:20">
      <c r="A26" s="69"/>
      <c r="B26" s="73"/>
      <c r="C26" s="74"/>
      <c r="D26" s="76"/>
      <c r="E26" s="75"/>
      <c r="F26" s="139"/>
      <c r="G26" s="135"/>
      <c r="H26" s="74"/>
      <c r="I26" s="77"/>
      <c r="J26" s="78"/>
      <c r="K26" s="74"/>
      <c r="L26" s="76"/>
      <c r="M26" s="65" t="str">
        <f t="shared" si="1"/>
        <v/>
      </c>
      <c r="N26" s="74"/>
      <c r="O26" s="79"/>
      <c r="P26" s="80"/>
      <c r="Q26" s="77"/>
      <c r="R26" s="77"/>
      <c r="S26" s="77"/>
      <c r="T26" s="68" t="str">
        <f t="shared" si="0"/>
        <v/>
      </c>
    </row>
    <row r="27" spans="1:20">
      <c r="A27" s="69"/>
      <c r="B27" s="73"/>
      <c r="C27" s="74"/>
      <c r="D27" s="76"/>
      <c r="E27" s="75"/>
      <c r="F27" s="139"/>
      <c r="G27" s="135"/>
      <c r="H27" s="74"/>
      <c r="I27" s="77"/>
      <c r="J27" s="78"/>
      <c r="K27" s="74"/>
      <c r="L27" s="76"/>
      <c r="M27" s="65" t="str">
        <f t="shared" si="1"/>
        <v/>
      </c>
      <c r="N27" s="74"/>
      <c r="O27" s="79"/>
      <c r="P27" s="80"/>
      <c r="Q27" s="77"/>
      <c r="R27" s="77"/>
      <c r="S27" s="77"/>
      <c r="T27" s="68" t="str">
        <f t="shared" si="0"/>
        <v/>
      </c>
    </row>
    <row r="28" spans="1:20">
      <c r="A28" s="69"/>
      <c r="B28" s="73"/>
      <c r="C28" s="74"/>
      <c r="D28" s="76"/>
      <c r="E28" s="75"/>
      <c r="F28" s="139"/>
      <c r="G28" s="135"/>
      <c r="H28" s="74"/>
      <c r="I28" s="77"/>
      <c r="J28" s="78"/>
      <c r="K28" s="74"/>
      <c r="L28" s="76"/>
      <c r="M28" s="65" t="str">
        <f t="shared" si="1"/>
        <v/>
      </c>
      <c r="N28" s="74"/>
      <c r="O28" s="79"/>
      <c r="P28" s="80"/>
      <c r="Q28" s="77"/>
      <c r="R28" s="77"/>
      <c r="S28" s="77"/>
      <c r="T28" s="68" t="str">
        <f t="shared" si="0"/>
        <v/>
      </c>
    </row>
    <row r="29" spans="1:20">
      <c r="A29" s="69"/>
      <c r="B29" s="73"/>
      <c r="C29" s="74"/>
      <c r="D29" s="76"/>
      <c r="E29" s="75"/>
      <c r="F29" s="139"/>
      <c r="G29" s="135"/>
      <c r="H29" s="74"/>
      <c r="I29" s="77"/>
      <c r="J29" s="78"/>
      <c r="K29" s="74"/>
      <c r="L29" s="76"/>
      <c r="M29" s="65" t="str">
        <f t="shared" si="1"/>
        <v/>
      </c>
      <c r="N29" s="74"/>
      <c r="O29" s="79"/>
      <c r="P29" s="80"/>
      <c r="Q29" s="77"/>
      <c r="R29" s="77"/>
      <c r="S29" s="77"/>
      <c r="T29" s="68" t="str">
        <f t="shared" si="0"/>
        <v/>
      </c>
    </row>
    <row r="30" spans="1:20">
      <c r="A30" s="69"/>
      <c r="B30" s="73"/>
      <c r="C30" s="74"/>
      <c r="D30" s="76"/>
      <c r="E30" s="75"/>
      <c r="F30" s="139"/>
      <c r="G30" s="135"/>
      <c r="H30" s="74"/>
      <c r="I30" s="77"/>
      <c r="J30" s="78"/>
      <c r="K30" s="74"/>
      <c r="L30" s="76"/>
      <c r="M30" s="65" t="str">
        <f t="shared" si="1"/>
        <v/>
      </c>
      <c r="N30" s="74"/>
      <c r="O30" s="79"/>
      <c r="P30" s="80"/>
      <c r="Q30" s="77"/>
      <c r="R30" s="77"/>
      <c r="S30" s="77"/>
      <c r="T30" s="68" t="str">
        <f t="shared" si="0"/>
        <v/>
      </c>
    </row>
    <row r="31" spans="1:20">
      <c r="A31" s="69"/>
      <c r="B31" s="73"/>
      <c r="C31" s="74"/>
      <c r="D31" s="76"/>
      <c r="E31" s="75"/>
      <c r="F31" s="139"/>
      <c r="G31" s="135"/>
      <c r="H31" s="74"/>
      <c r="I31" s="77"/>
      <c r="J31" s="78"/>
      <c r="K31" s="74"/>
      <c r="L31" s="76"/>
      <c r="M31" s="65" t="str">
        <f t="shared" si="1"/>
        <v/>
      </c>
      <c r="N31" s="74"/>
      <c r="O31" s="79"/>
      <c r="P31" s="80"/>
      <c r="Q31" s="77"/>
      <c r="R31" s="77"/>
      <c r="S31" s="77"/>
      <c r="T31" s="68" t="str">
        <f t="shared" si="0"/>
        <v/>
      </c>
    </row>
    <row r="32" spans="1:20">
      <c r="A32" s="69"/>
      <c r="B32" s="73"/>
      <c r="C32" s="74"/>
      <c r="D32" s="76"/>
      <c r="E32" s="75"/>
      <c r="F32" s="139"/>
      <c r="G32" s="135"/>
      <c r="H32" s="74"/>
      <c r="I32" s="77"/>
      <c r="J32" s="78"/>
      <c r="K32" s="74"/>
      <c r="L32" s="76"/>
      <c r="M32" s="65" t="str">
        <f t="shared" si="1"/>
        <v/>
      </c>
      <c r="N32" s="74"/>
      <c r="O32" s="79"/>
      <c r="P32" s="80"/>
      <c r="Q32" s="77"/>
      <c r="R32" s="77"/>
      <c r="S32" s="77"/>
      <c r="T32" s="68" t="str">
        <f t="shared" si="0"/>
        <v/>
      </c>
    </row>
    <row r="33" spans="1:20">
      <c r="A33" s="69"/>
      <c r="B33" s="73"/>
      <c r="C33" s="74"/>
      <c r="D33" s="76"/>
      <c r="E33" s="75"/>
      <c r="F33" s="139"/>
      <c r="G33" s="135"/>
      <c r="H33" s="74"/>
      <c r="I33" s="77"/>
      <c r="J33" s="78"/>
      <c r="K33" s="74"/>
      <c r="L33" s="76"/>
      <c r="M33" s="65" t="str">
        <f t="shared" si="1"/>
        <v/>
      </c>
      <c r="N33" s="74"/>
      <c r="O33" s="79"/>
      <c r="P33" s="80"/>
      <c r="Q33" s="77"/>
      <c r="R33" s="77"/>
      <c r="S33" s="77"/>
      <c r="T33" s="68" t="str">
        <f t="shared" si="0"/>
        <v/>
      </c>
    </row>
    <row r="34" spans="1:20">
      <c r="A34" s="69"/>
      <c r="B34" s="73"/>
      <c r="C34" s="74"/>
      <c r="D34" s="76"/>
      <c r="E34" s="75"/>
      <c r="F34" s="139"/>
      <c r="G34" s="135"/>
      <c r="H34" s="74"/>
      <c r="I34" s="77"/>
      <c r="J34" s="78"/>
      <c r="K34" s="74"/>
      <c r="L34" s="76"/>
      <c r="M34" s="65" t="str">
        <f t="shared" si="1"/>
        <v/>
      </c>
      <c r="N34" s="74"/>
      <c r="O34" s="79"/>
      <c r="P34" s="80"/>
      <c r="Q34" s="77"/>
      <c r="R34" s="77"/>
      <c r="S34" s="77"/>
      <c r="T34" s="68" t="str">
        <f t="shared" si="0"/>
        <v/>
      </c>
    </row>
    <row r="35" spans="1:20">
      <c r="A35" s="69"/>
      <c r="B35" s="73"/>
      <c r="C35" s="74"/>
      <c r="D35" s="76"/>
      <c r="E35" s="75"/>
      <c r="F35" s="139"/>
      <c r="G35" s="135"/>
      <c r="H35" s="74"/>
      <c r="I35" s="77"/>
      <c r="J35" s="78"/>
      <c r="K35" s="74"/>
      <c r="L35" s="76"/>
      <c r="M35" s="65" t="str">
        <f t="shared" si="1"/>
        <v/>
      </c>
      <c r="N35" s="74"/>
      <c r="O35" s="79"/>
      <c r="P35" s="80"/>
      <c r="Q35" s="77"/>
      <c r="R35" s="77"/>
      <c r="S35" s="77"/>
      <c r="T35" s="68" t="str">
        <f t="shared" si="0"/>
        <v/>
      </c>
    </row>
    <row r="36" spans="1:20">
      <c r="A36" s="69"/>
      <c r="B36" s="73"/>
      <c r="C36" s="74"/>
      <c r="D36" s="76"/>
      <c r="E36" s="75"/>
      <c r="F36" s="139"/>
      <c r="G36" s="135"/>
      <c r="H36" s="74"/>
      <c r="I36" s="77"/>
      <c r="J36" s="78"/>
      <c r="K36" s="74"/>
      <c r="L36" s="76"/>
      <c r="M36" s="65" t="str">
        <f t="shared" si="1"/>
        <v/>
      </c>
      <c r="N36" s="74"/>
      <c r="O36" s="79"/>
      <c r="P36" s="80"/>
      <c r="Q36" s="77"/>
      <c r="R36" s="77"/>
      <c r="S36" s="77"/>
      <c r="T36" s="68" t="str">
        <f t="shared" si="0"/>
        <v/>
      </c>
    </row>
    <row r="37" spans="1:20">
      <c r="A37" s="69"/>
      <c r="B37" s="73"/>
      <c r="C37" s="74"/>
      <c r="D37" s="76"/>
      <c r="E37" s="75"/>
      <c r="F37" s="139"/>
      <c r="G37" s="135"/>
      <c r="H37" s="74"/>
      <c r="I37" s="77"/>
      <c r="J37" s="78"/>
      <c r="K37" s="74"/>
      <c r="L37" s="76"/>
      <c r="M37" s="65" t="str">
        <f t="shared" si="1"/>
        <v/>
      </c>
      <c r="N37" s="74"/>
      <c r="O37" s="79"/>
      <c r="P37" s="80"/>
      <c r="Q37" s="77"/>
      <c r="R37" s="77"/>
      <c r="S37" s="77"/>
      <c r="T37" s="68" t="str">
        <f t="shared" si="0"/>
        <v/>
      </c>
    </row>
    <row r="38" spans="1:20">
      <c r="A38" s="69"/>
      <c r="B38" s="73"/>
      <c r="C38" s="74"/>
      <c r="D38" s="76"/>
      <c r="E38" s="75"/>
      <c r="F38" s="139"/>
      <c r="G38" s="135"/>
      <c r="H38" s="74"/>
      <c r="I38" s="77"/>
      <c r="J38" s="78"/>
      <c r="K38" s="74"/>
      <c r="L38" s="76"/>
      <c r="M38" s="65" t="str">
        <f t="shared" si="1"/>
        <v/>
      </c>
      <c r="N38" s="74"/>
      <c r="O38" s="79"/>
      <c r="P38" s="80"/>
      <c r="Q38" s="77"/>
      <c r="R38" s="77"/>
      <c r="S38" s="77"/>
      <c r="T38" s="68" t="str">
        <f t="shared" si="0"/>
        <v/>
      </c>
    </row>
    <row r="39" spans="1:20">
      <c r="A39" s="69"/>
      <c r="B39" s="73"/>
      <c r="C39" s="74"/>
      <c r="D39" s="76"/>
      <c r="E39" s="75"/>
      <c r="F39" s="139"/>
      <c r="G39" s="135"/>
      <c r="H39" s="74"/>
      <c r="I39" s="77"/>
      <c r="J39" s="78"/>
      <c r="K39" s="74"/>
      <c r="L39" s="76"/>
      <c r="M39" s="65" t="str">
        <f t="shared" si="1"/>
        <v/>
      </c>
      <c r="N39" s="74"/>
      <c r="O39" s="79"/>
      <c r="P39" s="80"/>
      <c r="Q39" s="77"/>
      <c r="R39" s="77"/>
      <c r="S39" s="77"/>
      <c r="T39" s="68" t="str">
        <f t="shared" si="0"/>
        <v/>
      </c>
    </row>
    <row r="40" spans="1:20">
      <c r="A40" s="69"/>
      <c r="B40" s="73"/>
      <c r="C40" s="74"/>
      <c r="D40" s="76"/>
      <c r="E40" s="75"/>
      <c r="F40" s="139"/>
      <c r="G40" s="135"/>
      <c r="H40" s="74"/>
      <c r="I40" s="77"/>
      <c r="J40" s="78"/>
      <c r="K40" s="74"/>
      <c r="L40" s="76"/>
      <c r="M40" s="65" t="str">
        <f t="shared" si="1"/>
        <v/>
      </c>
      <c r="N40" s="74"/>
      <c r="O40" s="79"/>
      <c r="P40" s="80"/>
      <c r="Q40" s="77"/>
      <c r="R40" s="77"/>
      <c r="S40" s="77"/>
      <c r="T40" s="68" t="str">
        <f t="shared" si="0"/>
        <v/>
      </c>
    </row>
    <row r="41" spans="1:20">
      <c r="A41" s="69"/>
      <c r="B41" s="73"/>
      <c r="C41" s="74"/>
      <c r="D41" s="76"/>
      <c r="E41" s="75"/>
      <c r="F41" s="139"/>
      <c r="G41" s="135"/>
      <c r="H41" s="74"/>
      <c r="I41" s="77"/>
      <c r="J41" s="78"/>
      <c r="K41" s="74"/>
      <c r="L41" s="76"/>
      <c r="M41" s="65" t="str">
        <f t="shared" si="1"/>
        <v/>
      </c>
      <c r="N41" s="74"/>
      <c r="O41" s="79"/>
      <c r="P41" s="80"/>
      <c r="Q41" s="77"/>
      <c r="R41" s="77"/>
      <c r="S41" s="77"/>
      <c r="T41" s="68" t="str">
        <f t="shared" si="0"/>
        <v/>
      </c>
    </row>
    <row r="42" spans="1:20">
      <c r="A42" s="69"/>
      <c r="B42" s="73"/>
      <c r="C42" s="74"/>
      <c r="D42" s="76"/>
      <c r="E42" s="75"/>
      <c r="F42" s="139"/>
      <c r="G42" s="135"/>
      <c r="H42" s="74"/>
      <c r="I42" s="77"/>
      <c r="J42" s="78"/>
      <c r="K42" s="74"/>
      <c r="L42" s="76"/>
      <c r="M42" s="65" t="str">
        <f t="shared" si="1"/>
        <v/>
      </c>
      <c r="N42" s="74"/>
      <c r="O42" s="79"/>
      <c r="P42" s="80"/>
      <c r="Q42" s="77"/>
      <c r="R42" s="77"/>
      <c r="S42" s="77"/>
      <c r="T42" s="68" t="str">
        <f t="shared" si="0"/>
        <v/>
      </c>
    </row>
    <row r="43" spans="1:20">
      <c r="A43" s="69"/>
      <c r="B43" s="73"/>
      <c r="C43" s="74"/>
      <c r="D43" s="76"/>
      <c r="E43" s="75"/>
      <c r="F43" s="139"/>
      <c r="G43" s="135"/>
      <c r="H43" s="74"/>
      <c r="I43" s="77"/>
      <c r="J43" s="78"/>
      <c r="K43" s="74"/>
      <c r="L43" s="76"/>
      <c r="M43" s="65" t="str">
        <f t="shared" si="1"/>
        <v/>
      </c>
      <c r="N43" s="74"/>
      <c r="O43" s="79"/>
      <c r="P43" s="80"/>
      <c r="Q43" s="77"/>
      <c r="R43" s="77"/>
      <c r="S43" s="77"/>
      <c r="T43" s="68" t="str">
        <f t="shared" si="0"/>
        <v/>
      </c>
    </row>
    <row r="44" spans="1:20">
      <c r="A44" s="69"/>
      <c r="B44" s="73"/>
      <c r="C44" s="74"/>
      <c r="D44" s="76"/>
      <c r="E44" s="75"/>
      <c r="F44" s="139"/>
      <c r="G44" s="135"/>
      <c r="H44" s="74"/>
      <c r="I44" s="77"/>
      <c r="J44" s="78"/>
      <c r="K44" s="74"/>
      <c r="L44" s="76"/>
      <c r="M44" s="65" t="str">
        <f t="shared" si="1"/>
        <v/>
      </c>
      <c r="N44" s="74"/>
      <c r="O44" s="79"/>
      <c r="P44" s="80"/>
      <c r="Q44" s="77"/>
      <c r="R44" s="77"/>
      <c r="S44" s="77"/>
      <c r="T44" s="68" t="str">
        <f t="shared" si="0"/>
        <v/>
      </c>
    </row>
    <row r="45" spans="1:20">
      <c r="A45" s="69"/>
      <c r="B45" s="73"/>
      <c r="C45" s="74"/>
      <c r="D45" s="76"/>
      <c r="E45" s="75"/>
      <c r="F45" s="139"/>
      <c r="G45" s="135"/>
      <c r="H45" s="74"/>
      <c r="I45" s="77"/>
      <c r="J45" s="78"/>
      <c r="K45" s="74"/>
      <c r="L45" s="76"/>
      <c r="M45" s="65" t="str">
        <f t="shared" si="1"/>
        <v/>
      </c>
      <c r="N45" s="74"/>
      <c r="O45" s="79"/>
      <c r="P45" s="80"/>
      <c r="Q45" s="77"/>
      <c r="R45" s="77"/>
      <c r="S45" s="77"/>
      <c r="T45" s="68" t="str">
        <f t="shared" si="0"/>
        <v/>
      </c>
    </row>
    <row r="46" spans="1:20">
      <c r="A46" s="69"/>
      <c r="B46" s="73"/>
      <c r="C46" s="74"/>
      <c r="D46" s="76"/>
      <c r="E46" s="75"/>
      <c r="F46" s="139"/>
      <c r="G46" s="135"/>
      <c r="H46" s="74"/>
      <c r="I46" s="77"/>
      <c r="J46" s="78"/>
      <c r="K46" s="74"/>
      <c r="L46" s="76"/>
      <c r="M46" s="65" t="str">
        <f t="shared" si="1"/>
        <v/>
      </c>
      <c r="N46" s="74"/>
      <c r="O46" s="79"/>
      <c r="P46" s="80"/>
      <c r="Q46" s="77"/>
      <c r="R46" s="77"/>
      <c r="S46" s="77"/>
      <c r="T46" s="68" t="str">
        <f t="shared" si="0"/>
        <v/>
      </c>
    </row>
    <row r="47" spans="1:20">
      <c r="A47" s="69"/>
      <c r="B47" s="73"/>
      <c r="C47" s="74"/>
      <c r="D47" s="76"/>
      <c r="E47" s="75"/>
      <c r="F47" s="139"/>
      <c r="G47" s="135"/>
      <c r="H47" s="74"/>
      <c r="I47" s="77"/>
      <c r="J47" s="78"/>
      <c r="K47" s="74"/>
      <c r="L47" s="76"/>
      <c r="M47" s="65" t="str">
        <f t="shared" si="1"/>
        <v/>
      </c>
      <c r="N47" s="74"/>
      <c r="O47" s="79"/>
      <c r="P47" s="80"/>
      <c r="Q47" s="77"/>
      <c r="R47" s="77"/>
      <c r="S47" s="77"/>
      <c r="T47" s="68" t="str">
        <f t="shared" si="0"/>
        <v/>
      </c>
    </row>
    <row r="48" spans="1:20">
      <c r="A48" s="69"/>
      <c r="B48" s="73"/>
      <c r="C48" s="74"/>
      <c r="D48" s="76"/>
      <c r="E48" s="75"/>
      <c r="F48" s="139"/>
      <c r="G48" s="135"/>
      <c r="H48" s="74"/>
      <c r="I48" s="77"/>
      <c r="J48" s="78"/>
      <c r="K48" s="74"/>
      <c r="L48" s="76"/>
      <c r="M48" s="65" t="str">
        <f t="shared" si="1"/>
        <v/>
      </c>
      <c r="N48" s="74"/>
      <c r="O48" s="79"/>
      <c r="P48" s="80"/>
      <c r="Q48" s="77"/>
      <c r="R48" s="77"/>
      <c r="S48" s="77"/>
      <c r="T48" s="68" t="str">
        <f t="shared" si="0"/>
        <v/>
      </c>
    </row>
    <row r="49" spans="1:20">
      <c r="A49" s="69"/>
      <c r="B49" s="73"/>
      <c r="C49" s="74"/>
      <c r="D49" s="76"/>
      <c r="E49" s="75"/>
      <c r="F49" s="139"/>
      <c r="G49" s="135"/>
      <c r="H49" s="74"/>
      <c r="I49" s="77"/>
      <c r="J49" s="78"/>
      <c r="K49" s="74"/>
      <c r="L49" s="76"/>
      <c r="M49" s="65" t="str">
        <f t="shared" si="1"/>
        <v/>
      </c>
      <c r="N49" s="74"/>
      <c r="O49" s="79"/>
      <c r="P49" s="80"/>
      <c r="Q49" s="77"/>
      <c r="R49" s="77"/>
      <c r="S49" s="77"/>
      <c r="T49" s="68" t="str">
        <f t="shared" si="0"/>
        <v/>
      </c>
    </row>
    <row r="50" spans="1:20">
      <c r="A50" s="69"/>
      <c r="B50" s="73"/>
      <c r="C50" s="74"/>
      <c r="D50" s="76"/>
      <c r="E50" s="75"/>
      <c r="F50" s="139"/>
      <c r="G50" s="135"/>
      <c r="H50" s="74"/>
      <c r="I50" s="77"/>
      <c r="J50" s="78"/>
      <c r="K50" s="74"/>
      <c r="L50" s="76"/>
      <c r="M50" s="65" t="str">
        <f t="shared" si="1"/>
        <v/>
      </c>
      <c r="N50" s="74"/>
      <c r="O50" s="79"/>
      <c r="P50" s="80"/>
      <c r="Q50" s="77"/>
      <c r="R50" s="77"/>
      <c r="S50" s="77"/>
      <c r="T50" s="68" t="str">
        <f t="shared" si="0"/>
        <v/>
      </c>
    </row>
    <row r="51" spans="1:20">
      <c r="A51" s="69"/>
      <c r="B51" s="73"/>
      <c r="C51" s="74"/>
      <c r="D51" s="76"/>
      <c r="E51" s="75"/>
      <c r="F51" s="139"/>
      <c r="G51" s="135"/>
      <c r="H51" s="74"/>
      <c r="I51" s="77"/>
      <c r="J51" s="78"/>
      <c r="K51" s="74"/>
      <c r="L51" s="76"/>
      <c r="M51" s="65" t="str">
        <f t="shared" si="1"/>
        <v/>
      </c>
      <c r="N51" s="74"/>
      <c r="O51" s="79"/>
      <c r="P51" s="80"/>
      <c r="Q51" s="77"/>
      <c r="R51" s="77"/>
      <c r="S51" s="77"/>
      <c r="T51" s="68" t="str">
        <f t="shared" si="0"/>
        <v/>
      </c>
    </row>
    <row r="52" spans="1:20">
      <c r="A52" s="69"/>
      <c r="B52" s="73"/>
      <c r="C52" s="74"/>
      <c r="D52" s="76"/>
      <c r="E52" s="75"/>
      <c r="F52" s="139"/>
      <c r="G52" s="135"/>
      <c r="H52" s="74"/>
      <c r="I52" s="77"/>
      <c r="J52" s="78"/>
      <c r="K52" s="74"/>
      <c r="L52" s="76"/>
      <c r="M52" s="65" t="str">
        <f t="shared" si="1"/>
        <v/>
      </c>
      <c r="N52" s="74"/>
      <c r="O52" s="79"/>
      <c r="P52" s="80"/>
      <c r="Q52" s="77"/>
      <c r="R52" s="77"/>
      <c r="S52" s="77"/>
      <c r="T52" s="68" t="str">
        <f t="shared" si="0"/>
        <v/>
      </c>
    </row>
    <row r="53" spans="1:20">
      <c r="A53" s="69"/>
      <c r="B53" s="73"/>
      <c r="C53" s="74"/>
      <c r="D53" s="76"/>
      <c r="E53" s="75"/>
      <c r="F53" s="139"/>
      <c r="G53" s="135"/>
      <c r="H53" s="74"/>
      <c r="I53" s="77"/>
      <c r="J53" s="78"/>
      <c r="K53" s="74"/>
      <c r="L53" s="76"/>
      <c r="M53" s="65" t="str">
        <f t="shared" si="1"/>
        <v/>
      </c>
      <c r="N53" s="74"/>
      <c r="O53" s="79"/>
      <c r="P53" s="80"/>
      <c r="Q53" s="77"/>
      <c r="R53" s="77"/>
      <c r="S53" s="77"/>
      <c r="T53" s="68" t="str">
        <f t="shared" si="0"/>
        <v/>
      </c>
    </row>
    <row r="54" spans="1:20">
      <c r="A54" s="69"/>
      <c r="B54" s="73"/>
      <c r="C54" s="74"/>
      <c r="D54" s="76"/>
      <c r="E54" s="75"/>
      <c r="F54" s="139"/>
      <c r="G54" s="135"/>
      <c r="H54" s="74"/>
      <c r="I54" s="77"/>
      <c r="J54" s="78"/>
      <c r="K54" s="74"/>
      <c r="L54" s="76"/>
      <c r="M54" s="65" t="str">
        <f t="shared" si="1"/>
        <v/>
      </c>
      <c r="N54" s="74"/>
      <c r="O54" s="79"/>
      <c r="P54" s="80"/>
      <c r="Q54" s="77"/>
      <c r="R54" s="77"/>
      <c r="S54" s="77"/>
      <c r="T54" s="68" t="str">
        <f t="shared" si="0"/>
        <v/>
      </c>
    </row>
    <row r="55" spans="1:20">
      <c r="A55" s="69"/>
      <c r="B55" s="73"/>
      <c r="C55" s="74"/>
      <c r="D55" s="76"/>
      <c r="E55" s="75"/>
      <c r="F55" s="139"/>
      <c r="G55" s="135"/>
      <c r="H55" s="74"/>
      <c r="I55" s="77"/>
      <c r="J55" s="78"/>
      <c r="K55" s="74"/>
      <c r="L55" s="76"/>
      <c r="M55" s="65" t="str">
        <f t="shared" si="1"/>
        <v/>
      </c>
      <c r="N55" s="74"/>
      <c r="O55" s="79"/>
      <c r="P55" s="80"/>
      <c r="Q55" s="77"/>
      <c r="R55" s="77"/>
      <c r="S55" s="77"/>
      <c r="T55" s="68" t="str">
        <f t="shared" si="0"/>
        <v/>
      </c>
    </row>
    <row r="56" spans="1:20">
      <c r="A56" s="69"/>
      <c r="B56" s="73"/>
      <c r="C56" s="74"/>
      <c r="D56" s="76"/>
      <c r="E56" s="75"/>
      <c r="F56" s="139"/>
      <c r="G56" s="135"/>
      <c r="H56" s="74"/>
      <c r="I56" s="77"/>
      <c r="J56" s="78"/>
      <c r="K56" s="74"/>
      <c r="L56" s="76"/>
      <c r="M56" s="65" t="str">
        <f t="shared" si="1"/>
        <v/>
      </c>
      <c r="N56" s="74"/>
      <c r="O56" s="79"/>
      <c r="P56" s="80"/>
      <c r="Q56" s="77"/>
      <c r="R56" s="77"/>
      <c r="S56" s="77"/>
      <c r="T56" s="68" t="str">
        <f t="shared" si="0"/>
        <v/>
      </c>
    </row>
    <row r="57" spans="1:20">
      <c r="A57" s="69"/>
      <c r="B57" s="73"/>
      <c r="C57" s="74"/>
      <c r="D57" s="76"/>
      <c r="E57" s="75"/>
      <c r="F57" s="139"/>
      <c r="G57" s="135"/>
      <c r="H57" s="74"/>
      <c r="I57" s="77"/>
      <c r="J57" s="78"/>
      <c r="K57" s="74"/>
      <c r="L57" s="76"/>
      <c r="M57" s="65" t="str">
        <f t="shared" si="1"/>
        <v/>
      </c>
      <c r="N57" s="74"/>
      <c r="O57" s="79"/>
      <c r="P57" s="80"/>
      <c r="Q57" s="77"/>
      <c r="R57" s="77"/>
      <c r="S57" s="77"/>
      <c r="T57" s="68" t="str">
        <f t="shared" si="0"/>
        <v/>
      </c>
    </row>
    <row r="58" spans="1:20">
      <c r="A58" s="69"/>
      <c r="B58" s="73"/>
      <c r="C58" s="74"/>
      <c r="D58" s="76"/>
      <c r="E58" s="75"/>
      <c r="F58" s="139"/>
      <c r="G58" s="135"/>
      <c r="H58" s="74"/>
      <c r="I58" s="77"/>
      <c r="J58" s="78"/>
      <c r="K58" s="74"/>
      <c r="L58" s="76"/>
      <c r="M58" s="65" t="str">
        <f t="shared" si="1"/>
        <v/>
      </c>
      <c r="N58" s="74"/>
      <c r="O58" s="79"/>
      <c r="P58" s="80"/>
      <c r="Q58" s="77"/>
      <c r="R58" s="77"/>
      <c r="S58" s="77"/>
      <c r="T58" s="68" t="str">
        <f t="shared" si="0"/>
        <v/>
      </c>
    </row>
    <row r="59" spans="1:20">
      <c r="A59" s="69"/>
      <c r="B59" s="73"/>
      <c r="C59" s="74"/>
      <c r="D59" s="76"/>
      <c r="E59" s="75"/>
      <c r="F59" s="139"/>
      <c r="G59" s="135"/>
      <c r="H59" s="74"/>
      <c r="I59" s="77"/>
      <c r="J59" s="78"/>
      <c r="K59" s="74"/>
      <c r="L59" s="76"/>
      <c r="M59" s="65" t="str">
        <f t="shared" si="1"/>
        <v/>
      </c>
      <c r="N59" s="74"/>
      <c r="O59" s="79"/>
      <c r="P59" s="80"/>
      <c r="Q59" s="77"/>
      <c r="R59" s="77"/>
      <c r="S59" s="77"/>
      <c r="T59" s="68" t="str">
        <f t="shared" si="0"/>
        <v/>
      </c>
    </row>
    <row r="60" spans="1:20">
      <c r="A60" s="69"/>
      <c r="B60" s="73"/>
      <c r="C60" s="74"/>
      <c r="D60" s="76"/>
      <c r="E60" s="75"/>
      <c r="F60" s="139"/>
      <c r="G60" s="135"/>
      <c r="H60" s="74"/>
      <c r="I60" s="77"/>
      <c r="J60" s="78"/>
      <c r="K60" s="74"/>
      <c r="L60" s="76"/>
      <c r="M60" s="65" t="str">
        <f t="shared" si="1"/>
        <v/>
      </c>
      <c r="N60" s="74"/>
      <c r="O60" s="79"/>
      <c r="P60" s="80"/>
      <c r="Q60" s="77"/>
      <c r="R60" s="77"/>
      <c r="S60" s="77"/>
      <c r="T60" s="68" t="str">
        <f t="shared" si="0"/>
        <v/>
      </c>
    </row>
    <row r="61" spans="1:20">
      <c r="A61" s="69"/>
      <c r="B61" s="73"/>
      <c r="C61" s="74"/>
      <c r="D61" s="76"/>
      <c r="E61" s="75"/>
      <c r="F61" s="139"/>
      <c r="G61" s="135"/>
      <c r="H61" s="74"/>
      <c r="I61" s="77"/>
      <c r="J61" s="78"/>
      <c r="K61" s="74"/>
      <c r="L61" s="76"/>
      <c r="M61" s="65" t="str">
        <f t="shared" si="1"/>
        <v/>
      </c>
      <c r="N61" s="74"/>
      <c r="O61" s="79"/>
      <c r="P61" s="80"/>
      <c r="Q61" s="77"/>
      <c r="R61" s="77"/>
      <c r="S61" s="77"/>
      <c r="T61" s="68" t="str">
        <f t="shared" si="0"/>
        <v/>
      </c>
    </row>
    <row r="62" spans="1:20">
      <c r="A62" s="69"/>
      <c r="B62" s="73"/>
      <c r="C62" s="74"/>
      <c r="D62" s="76"/>
      <c r="E62" s="75"/>
      <c r="F62" s="139"/>
      <c r="G62" s="135"/>
      <c r="H62" s="74"/>
      <c r="I62" s="77"/>
      <c r="J62" s="78"/>
      <c r="K62" s="74"/>
      <c r="L62" s="76"/>
      <c r="M62" s="65" t="str">
        <f t="shared" si="1"/>
        <v/>
      </c>
      <c r="N62" s="74"/>
      <c r="O62" s="79"/>
      <c r="P62" s="80"/>
      <c r="Q62" s="77"/>
      <c r="R62" s="77"/>
      <c r="S62" s="77"/>
      <c r="T62" s="68" t="str">
        <f t="shared" si="0"/>
        <v/>
      </c>
    </row>
    <row r="63" spans="1:20">
      <c r="A63" s="69"/>
      <c r="B63" s="73"/>
      <c r="C63" s="74"/>
      <c r="D63" s="76"/>
      <c r="E63" s="75"/>
      <c r="F63" s="139"/>
      <c r="G63" s="135"/>
      <c r="H63" s="74"/>
      <c r="I63" s="77"/>
      <c r="J63" s="78"/>
      <c r="K63" s="74"/>
      <c r="L63" s="76"/>
      <c r="M63" s="65" t="str">
        <f t="shared" si="1"/>
        <v/>
      </c>
      <c r="N63" s="74"/>
      <c r="O63" s="79"/>
      <c r="P63" s="80"/>
      <c r="Q63" s="77"/>
      <c r="R63" s="77"/>
      <c r="S63" s="77"/>
      <c r="T63" s="68" t="str">
        <f t="shared" si="0"/>
        <v/>
      </c>
    </row>
    <row r="64" spans="1:20">
      <c r="A64" s="69"/>
      <c r="B64" s="73"/>
      <c r="C64" s="74"/>
      <c r="D64" s="76"/>
      <c r="E64" s="75"/>
      <c r="F64" s="139"/>
      <c r="G64" s="135"/>
      <c r="H64" s="74"/>
      <c r="I64" s="77"/>
      <c r="J64" s="78"/>
      <c r="K64" s="74"/>
      <c r="L64" s="76"/>
      <c r="M64" s="65" t="str">
        <f t="shared" si="1"/>
        <v/>
      </c>
      <c r="N64" s="74"/>
      <c r="O64" s="79"/>
      <c r="P64" s="80"/>
      <c r="Q64" s="77"/>
      <c r="R64" s="77"/>
      <c r="S64" s="77"/>
      <c r="T64" s="68" t="str">
        <f t="shared" si="0"/>
        <v/>
      </c>
    </row>
    <row r="65" spans="1:20">
      <c r="A65" s="69"/>
      <c r="B65" s="73"/>
      <c r="C65" s="74"/>
      <c r="D65" s="76"/>
      <c r="E65" s="75"/>
      <c r="F65" s="139"/>
      <c r="G65" s="135"/>
      <c r="H65" s="74"/>
      <c r="I65" s="77"/>
      <c r="J65" s="78"/>
      <c r="K65" s="74"/>
      <c r="L65" s="76"/>
      <c r="M65" s="65" t="str">
        <f t="shared" si="1"/>
        <v/>
      </c>
      <c r="N65" s="74"/>
      <c r="O65" s="79"/>
      <c r="P65" s="80"/>
      <c r="Q65" s="77"/>
      <c r="R65" s="77"/>
      <c r="S65" s="77"/>
      <c r="T65" s="68" t="str">
        <f t="shared" si="0"/>
        <v/>
      </c>
    </row>
    <row r="66" spans="1:20">
      <c r="A66" s="69"/>
      <c r="B66" s="73"/>
      <c r="C66" s="74"/>
      <c r="D66" s="76"/>
      <c r="E66" s="75"/>
      <c r="F66" s="139"/>
      <c r="G66" s="135"/>
      <c r="H66" s="74"/>
      <c r="I66" s="77"/>
      <c r="J66" s="78"/>
      <c r="K66" s="74"/>
      <c r="L66" s="76"/>
      <c r="M66" s="65" t="str">
        <f t="shared" si="1"/>
        <v/>
      </c>
      <c r="N66" s="74"/>
      <c r="O66" s="79"/>
      <c r="P66" s="80"/>
      <c r="Q66" s="77"/>
      <c r="R66" s="77"/>
      <c r="S66" s="77"/>
      <c r="T66" s="68" t="str">
        <f t="shared" si="0"/>
        <v/>
      </c>
    </row>
    <row r="67" spans="1:20">
      <c r="A67" s="69"/>
      <c r="B67" s="73"/>
      <c r="C67" s="74"/>
      <c r="D67" s="76"/>
      <c r="E67" s="75"/>
      <c r="F67" s="139"/>
      <c r="G67" s="135"/>
      <c r="H67" s="74"/>
      <c r="I67" s="77"/>
      <c r="J67" s="78"/>
      <c r="K67" s="74"/>
      <c r="L67" s="76"/>
      <c r="M67" s="65" t="str">
        <f t="shared" si="1"/>
        <v/>
      </c>
      <c r="N67" s="74"/>
      <c r="O67" s="79"/>
      <c r="P67" s="80"/>
      <c r="Q67" s="77"/>
      <c r="R67" s="77"/>
      <c r="S67" s="77"/>
      <c r="T67" s="68" t="str">
        <f t="shared" si="0"/>
        <v/>
      </c>
    </row>
    <row r="68" spans="1:20">
      <c r="A68" s="69"/>
      <c r="B68" s="73"/>
      <c r="C68" s="74"/>
      <c r="D68" s="76"/>
      <c r="E68" s="75"/>
      <c r="F68" s="139"/>
      <c r="G68" s="135"/>
      <c r="H68" s="74"/>
      <c r="I68" s="77"/>
      <c r="J68" s="78"/>
      <c r="K68" s="74"/>
      <c r="L68" s="76"/>
      <c r="M68" s="65" t="str">
        <f t="shared" si="1"/>
        <v/>
      </c>
      <c r="N68" s="74"/>
      <c r="O68" s="79"/>
      <c r="P68" s="80"/>
      <c r="Q68" s="77"/>
      <c r="R68" s="77"/>
      <c r="S68" s="77"/>
      <c r="T68" s="68" t="str">
        <f t="shared" si="0"/>
        <v/>
      </c>
    </row>
    <row r="69" spans="1:20">
      <c r="A69" s="69"/>
      <c r="B69" s="73"/>
      <c r="C69" s="74"/>
      <c r="D69" s="76"/>
      <c r="E69" s="75"/>
      <c r="F69" s="139"/>
      <c r="G69" s="135"/>
      <c r="H69" s="74"/>
      <c r="I69" s="77"/>
      <c r="J69" s="78"/>
      <c r="K69" s="74"/>
      <c r="L69" s="76"/>
      <c r="M69" s="65" t="str">
        <f t="shared" si="1"/>
        <v/>
      </c>
      <c r="N69" s="74"/>
      <c r="O69" s="79"/>
      <c r="P69" s="80"/>
      <c r="Q69" s="77"/>
      <c r="R69" s="77"/>
      <c r="S69" s="77"/>
      <c r="T69" s="68" t="str">
        <f t="shared" si="0"/>
        <v/>
      </c>
    </row>
    <row r="70" spans="1:20">
      <c r="A70" s="69"/>
      <c r="B70" s="73"/>
      <c r="C70" s="74"/>
      <c r="D70" s="76"/>
      <c r="E70" s="75"/>
      <c r="F70" s="139"/>
      <c r="G70" s="135"/>
      <c r="H70" s="74"/>
      <c r="I70" s="77"/>
      <c r="J70" s="78"/>
      <c r="K70" s="74"/>
      <c r="L70" s="76"/>
      <c r="M70" s="65" t="str">
        <f t="shared" si="1"/>
        <v/>
      </c>
      <c r="N70" s="74"/>
      <c r="O70" s="79"/>
      <c r="P70" s="80"/>
      <c r="Q70" s="77"/>
      <c r="R70" s="77"/>
      <c r="S70" s="77"/>
      <c r="T70" s="68" t="str">
        <f t="shared" si="0"/>
        <v/>
      </c>
    </row>
    <row r="71" spans="1:20">
      <c r="A71" s="69"/>
      <c r="B71" s="73"/>
      <c r="C71" s="74"/>
      <c r="D71" s="76"/>
      <c r="E71" s="75"/>
      <c r="F71" s="139"/>
      <c r="G71" s="135"/>
      <c r="H71" s="74"/>
      <c r="I71" s="77"/>
      <c r="J71" s="78"/>
      <c r="K71" s="74"/>
      <c r="L71" s="76"/>
      <c r="M71" s="65" t="str">
        <f t="shared" si="1"/>
        <v/>
      </c>
      <c r="N71" s="74"/>
      <c r="O71" s="79"/>
      <c r="P71" s="80"/>
      <c r="Q71" s="77"/>
      <c r="R71" s="77"/>
      <c r="S71" s="77"/>
      <c r="T71" s="68" t="str">
        <f t="shared" si="0"/>
        <v/>
      </c>
    </row>
    <row r="72" spans="1:20">
      <c r="A72" s="69"/>
      <c r="B72" s="73"/>
      <c r="C72" s="74"/>
      <c r="D72" s="76"/>
      <c r="E72" s="75"/>
      <c r="F72" s="139"/>
      <c r="G72" s="135"/>
      <c r="H72" s="74"/>
      <c r="I72" s="77"/>
      <c r="J72" s="78"/>
      <c r="K72" s="74"/>
      <c r="L72" s="76"/>
      <c r="M72" s="65" t="str">
        <f t="shared" si="1"/>
        <v/>
      </c>
      <c r="N72" s="74"/>
      <c r="O72" s="79"/>
      <c r="P72" s="80"/>
      <c r="Q72" s="77"/>
      <c r="R72" s="77"/>
      <c r="S72" s="77"/>
      <c r="T72" s="68" t="str">
        <f t="shared" si="0"/>
        <v/>
      </c>
    </row>
    <row r="73" spans="1:20">
      <c r="A73" s="69"/>
      <c r="B73" s="73"/>
      <c r="C73" s="74"/>
      <c r="D73" s="76"/>
      <c r="E73" s="75"/>
      <c r="F73" s="139"/>
      <c r="G73" s="135"/>
      <c r="H73" s="74"/>
      <c r="I73" s="77"/>
      <c r="J73" s="78"/>
      <c r="K73" s="74"/>
      <c r="L73" s="76"/>
      <c r="M73" s="65" t="str">
        <f t="shared" si="1"/>
        <v/>
      </c>
      <c r="N73" s="74"/>
      <c r="O73" s="79"/>
      <c r="P73" s="80"/>
      <c r="Q73" s="77"/>
      <c r="R73" s="77"/>
      <c r="S73" s="77"/>
      <c r="T73" s="68" t="str">
        <f t="shared" si="0"/>
        <v/>
      </c>
    </row>
    <row r="74" spans="1:20">
      <c r="A74" s="69"/>
      <c r="B74" s="73"/>
      <c r="C74" s="74"/>
      <c r="D74" s="76"/>
      <c r="E74" s="75"/>
      <c r="F74" s="139"/>
      <c r="G74" s="135"/>
      <c r="H74" s="74"/>
      <c r="I74" s="77"/>
      <c r="J74" s="78"/>
      <c r="K74" s="74"/>
      <c r="L74" s="76"/>
      <c r="M74" s="65" t="str">
        <f t="shared" si="1"/>
        <v/>
      </c>
      <c r="N74" s="74"/>
      <c r="O74" s="79"/>
      <c r="P74" s="80"/>
      <c r="Q74" s="77"/>
      <c r="R74" s="77"/>
      <c r="S74" s="77"/>
      <c r="T74" s="68" t="str">
        <f t="shared" si="0"/>
        <v/>
      </c>
    </row>
    <row r="75" spans="1:20">
      <c r="A75" s="69"/>
      <c r="B75" s="73"/>
      <c r="C75" s="74"/>
      <c r="D75" s="76"/>
      <c r="E75" s="75"/>
      <c r="F75" s="139"/>
      <c r="G75" s="135"/>
      <c r="H75" s="74"/>
      <c r="I75" s="77"/>
      <c r="J75" s="78"/>
      <c r="K75" s="74"/>
      <c r="L75" s="76"/>
      <c r="M75" s="65" t="str">
        <f t="shared" si="1"/>
        <v/>
      </c>
      <c r="N75" s="74"/>
      <c r="O75" s="79"/>
      <c r="P75" s="80"/>
      <c r="Q75" s="77"/>
      <c r="R75" s="77"/>
      <c r="S75" s="77"/>
      <c r="T75" s="68" t="str">
        <f t="shared" si="0"/>
        <v/>
      </c>
    </row>
    <row r="76" spans="1:20">
      <c r="A76" s="69"/>
      <c r="B76" s="73"/>
      <c r="C76" s="74"/>
      <c r="D76" s="76"/>
      <c r="E76" s="75"/>
      <c r="F76" s="139"/>
      <c r="G76" s="135"/>
      <c r="H76" s="74"/>
      <c r="I76" s="77"/>
      <c r="J76" s="78"/>
      <c r="K76" s="74"/>
      <c r="L76" s="76"/>
      <c r="M76" s="65" t="str">
        <f t="shared" si="1"/>
        <v/>
      </c>
      <c r="N76" s="74"/>
      <c r="O76" s="79"/>
      <c r="P76" s="80"/>
      <c r="Q76" s="77"/>
      <c r="R76" s="77"/>
      <c r="S76" s="77"/>
      <c r="T76" s="68" t="str">
        <f t="shared" si="0"/>
        <v/>
      </c>
    </row>
    <row r="77" spans="1:20">
      <c r="A77" s="69"/>
      <c r="B77" s="73"/>
      <c r="C77" s="74"/>
      <c r="D77" s="76"/>
      <c r="E77" s="75"/>
      <c r="F77" s="139"/>
      <c r="G77" s="135"/>
      <c r="H77" s="74"/>
      <c r="I77" s="77"/>
      <c r="J77" s="78"/>
      <c r="K77" s="74"/>
      <c r="L77" s="76"/>
      <c r="M77" s="65" t="str">
        <f t="shared" si="1"/>
        <v/>
      </c>
      <c r="N77" s="74"/>
      <c r="O77" s="79"/>
      <c r="P77" s="80"/>
      <c r="Q77" s="77"/>
      <c r="R77" s="77"/>
      <c r="S77" s="77"/>
      <c r="T77" s="68" t="str">
        <f t="shared" ref="T77:T103" si="2">IF(Q77*R77*S77=0,"",Q77*R77*S77)</f>
        <v/>
      </c>
    </row>
    <row r="78" spans="1:20">
      <c r="A78" s="69"/>
      <c r="B78" s="73"/>
      <c r="C78" s="74"/>
      <c r="D78" s="76"/>
      <c r="E78" s="75"/>
      <c r="F78" s="139"/>
      <c r="G78" s="135"/>
      <c r="H78" s="74"/>
      <c r="I78" s="77"/>
      <c r="J78" s="78"/>
      <c r="K78" s="74"/>
      <c r="L78" s="76"/>
      <c r="M78" s="65" t="str">
        <f t="shared" si="1"/>
        <v/>
      </c>
      <c r="N78" s="74"/>
      <c r="O78" s="79"/>
      <c r="P78" s="80"/>
      <c r="Q78" s="77"/>
      <c r="R78" s="77"/>
      <c r="S78" s="77"/>
      <c r="T78" s="68" t="str">
        <f t="shared" si="2"/>
        <v/>
      </c>
    </row>
    <row r="79" spans="1:20">
      <c r="A79" s="69"/>
      <c r="B79" s="73"/>
      <c r="C79" s="74"/>
      <c r="D79" s="76"/>
      <c r="E79" s="75"/>
      <c r="F79" s="139"/>
      <c r="G79" s="135"/>
      <c r="H79" s="74"/>
      <c r="I79" s="77"/>
      <c r="J79" s="78"/>
      <c r="K79" s="74"/>
      <c r="L79" s="76"/>
      <c r="M79" s="65" t="str">
        <f t="shared" ref="M79:M102" si="3">IF(D79*J79*L79=0,"",D79*J79*L79)</f>
        <v/>
      </c>
      <c r="N79" s="74"/>
      <c r="O79" s="79"/>
      <c r="P79" s="80"/>
      <c r="Q79" s="77"/>
      <c r="R79" s="77"/>
      <c r="S79" s="77"/>
      <c r="T79" s="68" t="str">
        <f t="shared" si="2"/>
        <v/>
      </c>
    </row>
    <row r="80" spans="1:20">
      <c r="A80" s="69"/>
      <c r="B80" s="73"/>
      <c r="C80" s="74"/>
      <c r="D80" s="76"/>
      <c r="E80" s="75"/>
      <c r="F80" s="139"/>
      <c r="G80" s="135"/>
      <c r="H80" s="74"/>
      <c r="I80" s="77"/>
      <c r="J80" s="78"/>
      <c r="K80" s="74"/>
      <c r="L80" s="76"/>
      <c r="M80" s="65" t="str">
        <f t="shared" si="3"/>
        <v/>
      </c>
      <c r="N80" s="74"/>
      <c r="O80" s="79"/>
      <c r="P80" s="80"/>
      <c r="Q80" s="77"/>
      <c r="R80" s="77"/>
      <c r="S80" s="77"/>
      <c r="T80" s="68" t="str">
        <f t="shared" si="2"/>
        <v/>
      </c>
    </row>
    <row r="81" spans="1:20">
      <c r="A81" s="69"/>
      <c r="B81" s="73"/>
      <c r="C81" s="74"/>
      <c r="D81" s="76"/>
      <c r="E81" s="75"/>
      <c r="F81" s="139"/>
      <c r="G81" s="135"/>
      <c r="H81" s="74"/>
      <c r="I81" s="77"/>
      <c r="J81" s="78"/>
      <c r="K81" s="74"/>
      <c r="L81" s="76"/>
      <c r="M81" s="65" t="str">
        <f t="shared" si="3"/>
        <v/>
      </c>
      <c r="N81" s="74"/>
      <c r="O81" s="79"/>
      <c r="P81" s="80"/>
      <c r="Q81" s="77"/>
      <c r="R81" s="77"/>
      <c r="S81" s="77"/>
      <c r="T81" s="68" t="str">
        <f t="shared" si="2"/>
        <v/>
      </c>
    </row>
    <row r="82" spans="1:20">
      <c r="A82" s="69"/>
      <c r="B82" s="73"/>
      <c r="C82" s="74"/>
      <c r="D82" s="76"/>
      <c r="E82" s="75"/>
      <c r="F82" s="139"/>
      <c r="G82" s="135"/>
      <c r="H82" s="74"/>
      <c r="I82" s="77"/>
      <c r="J82" s="78"/>
      <c r="K82" s="74"/>
      <c r="L82" s="76"/>
      <c r="M82" s="65" t="str">
        <f t="shared" si="3"/>
        <v/>
      </c>
      <c r="N82" s="74"/>
      <c r="O82" s="79"/>
      <c r="P82" s="80"/>
      <c r="Q82" s="77"/>
      <c r="R82" s="77"/>
      <c r="S82" s="77"/>
      <c r="T82" s="68" t="str">
        <f t="shared" si="2"/>
        <v/>
      </c>
    </row>
    <row r="83" spans="1:20">
      <c r="A83" s="69"/>
      <c r="B83" s="73"/>
      <c r="C83" s="74"/>
      <c r="D83" s="76"/>
      <c r="E83" s="75"/>
      <c r="F83" s="139"/>
      <c r="G83" s="135"/>
      <c r="H83" s="74"/>
      <c r="I83" s="77"/>
      <c r="J83" s="78"/>
      <c r="K83" s="74"/>
      <c r="L83" s="76"/>
      <c r="M83" s="65" t="str">
        <f t="shared" si="3"/>
        <v/>
      </c>
      <c r="N83" s="74"/>
      <c r="O83" s="79"/>
      <c r="P83" s="80"/>
      <c r="Q83" s="77"/>
      <c r="R83" s="77"/>
      <c r="S83" s="77"/>
      <c r="T83" s="68" t="str">
        <f t="shared" si="2"/>
        <v/>
      </c>
    </row>
    <row r="84" spans="1:20">
      <c r="A84" s="69"/>
      <c r="B84" s="73"/>
      <c r="C84" s="74"/>
      <c r="D84" s="76"/>
      <c r="E84" s="75"/>
      <c r="F84" s="139"/>
      <c r="G84" s="135"/>
      <c r="H84" s="74"/>
      <c r="I84" s="77"/>
      <c r="J84" s="78"/>
      <c r="K84" s="74"/>
      <c r="L84" s="76"/>
      <c r="M84" s="65" t="str">
        <f t="shared" si="3"/>
        <v/>
      </c>
      <c r="N84" s="74"/>
      <c r="O84" s="79"/>
      <c r="P84" s="80"/>
      <c r="Q84" s="77"/>
      <c r="R84" s="77"/>
      <c r="S84" s="77"/>
      <c r="T84" s="68" t="str">
        <f t="shared" si="2"/>
        <v/>
      </c>
    </row>
    <row r="85" spans="1:20">
      <c r="A85" s="69"/>
      <c r="B85" s="73"/>
      <c r="C85" s="74"/>
      <c r="D85" s="76"/>
      <c r="E85" s="75"/>
      <c r="F85" s="139"/>
      <c r="G85" s="135"/>
      <c r="H85" s="74"/>
      <c r="I85" s="77"/>
      <c r="J85" s="78"/>
      <c r="K85" s="74"/>
      <c r="L85" s="76"/>
      <c r="M85" s="65" t="str">
        <f t="shared" si="3"/>
        <v/>
      </c>
      <c r="N85" s="74"/>
      <c r="O85" s="79"/>
      <c r="P85" s="80"/>
      <c r="Q85" s="77"/>
      <c r="R85" s="77"/>
      <c r="S85" s="77"/>
      <c r="T85" s="68" t="str">
        <f t="shared" si="2"/>
        <v/>
      </c>
    </row>
    <row r="86" spans="1:20">
      <c r="A86" s="69"/>
      <c r="B86" s="73"/>
      <c r="C86" s="74"/>
      <c r="D86" s="76"/>
      <c r="E86" s="75"/>
      <c r="F86" s="139"/>
      <c r="G86" s="135"/>
      <c r="H86" s="74"/>
      <c r="I86" s="77"/>
      <c r="J86" s="78"/>
      <c r="K86" s="74"/>
      <c r="L86" s="76"/>
      <c r="M86" s="65" t="str">
        <f t="shared" si="3"/>
        <v/>
      </c>
      <c r="N86" s="74"/>
      <c r="O86" s="79"/>
      <c r="P86" s="80"/>
      <c r="Q86" s="77"/>
      <c r="R86" s="77"/>
      <c r="S86" s="77"/>
      <c r="T86" s="68" t="str">
        <f t="shared" si="2"/>
        <v/>
      </c>
    </row>
    <row r="87" spans="1:20">
      <c r="A87" s="69"/>
      <c r="B87" s="73"/>
      <c r="C87" s="74"/>
      <c r="D87" s="76"/>
      <c r="E87" s="75"/>
      <c r="F87" s="139"/>
      <c r="G87" s="135"/>
      <c r="H87" s="74"/>
      <c r="I87" s="77"/>
      <c r="J87" s="78"/>
      <c r="K87" s="74"/>
      <c r="L87" s="76"/>
      <c r="M87" s="65" t="str">
        <f t="shared" si="3"/>
        <v/>
      </c>
      <c r="N87" s="74"/>
      <c r="O87" s="79"/>
      <c r="P87" s="80"/>
      <c r="Q87" s="77"/>
      <c r="R87" s="77"/>
      <c r="S87" s="77"/>
      <c r="T87" s="68" t="str">
        <f t="shared" si="2"/>
        <v/>
      </c>
    </row>
    <row r="88" spans="1:20">
      <c r="A88" s="69"/>
      <c r="B88" s="73"/>
      <c r="C88" s="74"/>
      <c r="D88" s="76"/>
      <c r="E88" s="75"/>
      <c r="F88" s="139"/>
      <c r="G88" s="135"/>
      <c r="H88" s="74"/>
      <c r="I88" s="77"/>
      <c r="J88" s="78"/>
      <c r="K88" s="74"/>
      <c r="L88" s="76"/>
      <c r="M88" s="65" t="str">
        <f t="shared" si="3"/>
        <v/>
      </c>
      <c r="N88" s="74"/>
      <c r="O88" s="79"/>
      <c r="P88" s="80"/>
      <c r="Q88" s="77"/>
      <c r="R88" s="77"/>
      <c r="S88" s="77"/>
      <c r="T88" s="68" t="str">
        <f t="shared" si="2"/>
        <v/>
      </c>
    </row>
    <row r="89" spans="1:20">
      <c r="A89" s="69"/>
      <c r="B89" s="73"/>
      <c r="C89" s="74"/>
      <c r="D89" s="76"/>
      <c r="E89" s="75"/>
      <c r="F89" s="139"/>
      <c r="G89" s="135"/>
      <c r="H89" s="74"/>
      <c r="I89" s="77"/>
      <c r="J89" s="78"/>
      <c r="K89" s="74"/>
      <c r="L89" s="76"/>
      <c r="M89" s="65" t="str">
        <f t="shared" si="3"/>
        <v/>
      </c>
      <c r="N89" s="74"/>
      <c r="O89" s="79"/>
      <c r="P89" s="80"/>
      <c r="Q89" s="77"/>
      <c r="R89" s="77"/>
      <c r="S89" s="77"/>
      <c r="T89" s="68" t="str">
        <f t="shared" si="2"/>
        <v/>
      </c>
    </row>
    <row r="90" spans="1:20">
      <c r="A90" s="69"/>
      <c r="B90" s="73"/>
      <c r="C90" s="74"/>
      <c r="D90" s="76"/>
      <c r="E90" s="75"/>
      <c r="F90" s="139"/>
      <c r="G90" s="135"/>
      <c r="H90" s="74"/>
      <c r="I90" s="77"/>
      <c r="J90" s="78"/>
      <c r="K90" s="74"/>
      <c r="L90" s="76"/>
      <c r="M90" s="65" t="str">
        <f t="shared" si="3"/>
        <v/>
      </c>
      <c r="N90" s="74"/>
      <c r="O90" s="79"/>
      <c r="P90" s="80"/>
      <c r="Q90" s="77"/>
      <c r="R90" s="77"/>
      <c r="S90" s="77"/>
      <c r="T90" s="68" t="str">
        <f t="shared" si="2"/>
        <v/>
      </c>
    </row>
    <row r="91" spans="1:20">
      <c r="A91" s="69"/>
      <c r="B91" s="73"/>
      <c r="C91" s="74"/>
      <c r="D91" s="76"/>
      <c r="E91" s="75"/>
      <c r="F91" s="139"/>
      <c r="G91" s="135"/>
      <c r="H91" s="74"/>
      <c r="I91" s="77"/>
      <c r="J91" s="78"/>
      <c r="K91" s="74"/>
      <c r="L91" s="76"/>
      <c r="M91" s="65" t="str">
        <f t="shared" si="3"/>
        <v/>
      </c>
      <c r="N91" s="74"/>
      <c r="O91" s="79"/>
      <c r="P91" s="80"/>
      <c r="Q91" s="77"/>
      <c r="R91" s="77"/>
      <c r="S91" s="77"/>
      <c r="T91" s="68" t="str">
        <f t="shared" si="2"/>
        <v/>
      </c>
    </row>
    <row r="92" spans="1:20">
      <c r="A92" s="69"/>
      <c r="B92" s="73"/>
      <c r="C92" s="74"/>
      <c r="D92" s="76"/>
      <c r="E92" s="75"/>
      <c r="F92" s="139"/>
      <c r="G92" s="135"/>
      <c r="H92" s="74"/>
      <c r="I92" s="77"/>
      <c r="J92" s="78"/>
      <c r="K92" s="74"/>
      <c r="L92" s="76"/>
      <c r="M92" s="65" t="str">
        <f t="shared" si="3"/>
        <v/>
      </c>
      <c r="N92" s="74"/>
      <c r="O92" s="79"/>
      <c r="P92" s="80"/>
      <c r="Q92" s="77"/>
      <c r="R92" s="77"/>
      <c r="S92" s="77"/>
      <c r="T92" s="68" t="str">
        <f t="shared" si="2"/>
        <v/>
      </c>
    </row>
    <row r="93" spans="1:20">
      <c r="A93" s="69"/>
      <c r="B93" s="73"/>
      <c r="C93" s="74"/>
      <c r="D93" s="76"/>
      <c r="E93" s="75"/>
      <c r="F93" s="139"/>
      <c r="G93" s="135"/>
      <c r="H93" s="74"/>
      <c r="I93" s="77"/>
      <c r="J93" s="78"/>
      <c r="K93" s="74"/>
      <c r="L93" s="76"/>
      <c r="M93" s="65" t="str">
        <f t="shared" si="3"/>
        <v/>
      </c>
      <c r="N93" s="74"/>
      <c r="O93" s="79"/>
      <c r="P93" s="80"/>
      <c r="Q93" s="77"/>
      <c r="R93" s="77"/>
      <c r="S93" s="77"/>
      <c r="T93" s="68" t="str">
        <f t="shared" si="2"/>
        <v/>
      </c>
    </row>
    <row r="94" spans="1:20">
      <c r="A94" s="69"/>
      <c r="B94" s="73"/>
      <c r="C94" s="74"/>
      <c r="D94" s="76"/>
      <c r="E94" s="75"/>
      <c r="F94" s="139"/>
      <c r="G94" s="135"/>
      <c r="H94" s="74"/>
      <c r="I94" s="77"/>
      <c r="J94" s="78"/>
      <c r="K94" s="74"/>
      <c r="L94" s="76"/>
      <c r="M94" s="65" t="str">
        <f t="shared" si="3"/>
        <v/>
      </c>
      <c r="N94" s="74"/>
      <c r="O94" s="79"/>
      <c r="P94" s="80"/>
      <c r="Q94" s="77"/>
      <c r="R94" s="77"/>
      <c r="S94" s="77"/>
      <c r="T94" s="68" t="str">
        <f t="shared" si="2"/>
        <v/>
      </c>
    </row>
    <row r="95" spans="1:20">
      <c r="A95" s="69"/>
      <c r="B95" s="73"/>
      <c r="C95" s="74"/>
      <c r="D95" s="76"/>
      <c r="E95" s="75"/>
      <c r="F95" s="139"/>
      <c r="G95" s="135"/>
      <c r="H95" s="74"/>
      <c r="I95" s="77"/>
      <c r="J95" s="78"/>
      <c r="K95" s="74"/>
      <c r="L95" s="76"/>
      <c r="M95" s="65" t="str">
        <f t="shared" si="3"/>
        <v/>
      </c>
      <c r="N95" s="74"/>
      <c r="O95" s="79"/>
      <c r="P95" s="80"/>
      <c r="Q95" s="77"/>
      <c r="R95" s="77"/>
      <c r="S95" s="77"/>
      <c r="T95" s="68" t="str">
        <f t="shared" si="2"/>
        <v/>
      </c>
    </row>
    <row r="96" spans="1:20">
      <c r="A96" s="69"/>
      <c r="B96" s="73"/>
      <c r="C96" s="74"/>
      <c r="D96" s="76"/>
      <c r="E96" s="75"/>
      <c r="F96" s="139"/>
      <c r="G96" s="135"/>
      <c r="H96" s="74"/>
      <c r="I96" s="77"/>
      <c r="J96" s="78"/>
      <c r="K96" s="74"/>
      <c r="L96" s="76"/>
      <c r="M96" s="65" t="str">
        <f t="shared" si="3"/>
        <v/>
      </c>
      <c r="N96" s="74"/>
      <c r="O96" s="79"/>
      <c r="P96" s="80"/>
      <c r="Q96" s="77"/>
      <c r="R96" s="77"/>
      <c r="S96" s="77"/>
      <c r="T96" s="68" t="str">
        <f t="shared" si="2"/>
        <v/>
      </c>
    </row>
    <row r="97" spans="1:20">
      <c r="A97" s="69"/>
      <c r="B97" s="73"/>
      <c r="C97" s="74"/>
      <c r="D97" s="76"/>
      <c r="E97" s="75"/>
      <c r="F97" s="139"/>
      <c r="G97" s="135"/>
      <c r="H97" s="74"/>
      <c r="I97" s="77"/>
      <c r="J97" s="78"/>
      <c r="K97" s="74"/>
      <c r="L97" s="76"/>
      <c r="M97" s="65" t="str">
        <f t="shared" si="3"/>
        <v/>
      </c>
      <c r="N97" s="74"/>
      <c r="O97" s="79"/>
      <c r="P97" s="80"/>
      <c r="Q97" s="77"/>
      <c r="R97" s="77"/>
      <c r="S97" s="77"/>
      <c r="T97" s="68" t="str">
        <f t="shared" si="2"/>
        <v/>
      </c>
    </row>
    <row r="98" spans="1:20">
      <c r="A98" s="69"/>
      <c r="B98" s="73"/>
      <c r="C98" s="74"/>
      <c r="D98" s="76"/>
      <c r="E98" s="75"/>
      <c r="F98" s="139"/>
      <c r="G98" s="135"/>
      <c r="H98" s="74"/>
      <c r="I98" s="77"/>
      <c r="J98" s="78"/>
      <c r="K98" s="74"/>
      <c r="L98" s="76"/>
      <c r="M98" s="65" t="str">
        <f t="shared" si="3"/>
        <v/>
      </c>
      <c r="N98" s="74"/>
      <c r="O98" s="79"/>
      <c r="P98" s="80"/>
      <c r="Q98" s="77"/>
      <c r="R98" s="77"/>
      <c r="S98" s="77"/>
      <c r="T98" s="68" t="str">
        <f t="shared" si="2"/>
        <v/>
      </c>
    </row>
    <row r="99" spans="1:20">
      <c r="A99" s="69"/>
      <c r="B99" s="73"/>
      <c r="C99" s="74"/>
      <c r="D99" s="76"/>
      <c r="E99" s="75"/>
      <c r="F99" s="139"/>
      <c r="G99" s="135"/>
      <c r="H99" s="74"/>
      <c r="I99" s="77"/>
      <c r="J99" s="78"/>
      <c r="K99" s="74"/>
      <c r="L99" s="76"/>
      <c r="M99" s="65" t="str">
        <f t="shared" si="3"/>
        <v/>
      </c>
      <c r="N99" s="74"/>
      <c r="O99" s="79"/>
      <c r="P99" s="80"/>
      <c r="Q99" s="77"/>
      <c r="R99" s="77"/>
      <c r="S99" s="77"/>
      <c r="T99" s="68" t="str">
        <f t="shared" si="2"/>
        <v/>
      </c>
    </row>
    <row r="100" spans="1:20">
      <c r="A100" s="81"/>
      <c r="B100" s="82"/>
      <c r="C100" s="83"/>
      <c r="D100" s="85"/>
      <c r="E100" s="84"/>
      <c r="F100" s="140"/>
      <c r="G100" s="136"/>
      <c r="H100" s="83"/>
      <c r="I100" s="86"/>
      <c r="J100" s="87"/>
      <c r="K100" s="83"/>
      <c r="L100" s="85"/>
      <c r="M100" s="65" t="str">
        <f t="shared" si="3"/>
        <v/>
      </c>
      <c r="N100" s="83"/>
      <c r="O100" s="88"/>
      <c r="P100" s="89"/>
      <c r="Q100" s="86"/>
      <c r="R100" s="86"/>
      <c r="S100" s="86"/>
      <c r="T100" s="68" t="str">
        <f t="shared" si="2"/>
        <v/>
      </c>
    </row>
    <row r="101" spans="1:20">
      <c r="A101" s="81"/>
      <c r="B101" s="82"/>
      <c r="C101" s="83"/>
      <c r="D101" s="85"/>
      <c r="E101" s="84"/>
      <c r="F101" s="140"/>
      <c r="G101" s="136"/>
      <c r="H101" s="83"/>
      <c r="I101" s="86"/>
      <c r="J101" s="87"/>
      <c r="K101" s="83"/>
      <c r="L101" s="85"/>
      <c r="M101" s="65" t="str">
        <f t="shared" si="3"/>
        <v/>
      </c>
      <c r="N101" s="83"/>
      <c r="O101" s="88"/>
      <c r="P101" s="89"/>
      <c r="Q101" s="86"/>
      <c r="R101" s="86"/>
      <c r="S101" s="86"/>
      <c r="T101" s="68" t="str">
        <f t="shared" si="2"/>
        <v/>
      </c>
    </row>
    <row r="102" spans="1:20">
      <c r="A102" s="81"/>
      <c r="B102" s="82"/>
      <c r="C102" s="83"/>
      <c r="D102" s="85"/>
      <c r="E102" s="84"/>
      <c r="F102" s="140"/>
      <c r="G102" s="136"/>
      <c r="H102" s="83"/>
      <c r="I102" s="86"/>
      <c r="J102" s="87"/>
      <c r="K102" s="83"/>
      <c r="L102" s="85"/>
      <c r="M102" s="65" t="str">
        <f t="shared" si="3"/>
        <v/>
      </c>
      <c r="N102" s="83"/>
      <c r="O102" s="88"/>
      <c r="P102" s="89"/>
      <c r="Q102" s="86"/>
      <c r="R102" s="86"/>
      <c r="S102" s="86"/>
      <c r="T102" s="68" t="str">
        <f t="shared" si="2"/>
        <v/>
      </c>
    </row>
    <row r="103" spans="1:20" ht="13.5" thickBot="1">
      <c r="A103" s="90"/>
      <c r="B103" s="91"/>
      <c r="C103" s="92"/>
      <c r="D103" s="94"/>
      <c r="E103" s="93"/>
      <c r="F103" s="141"/>
      <c r="G103" s="137"/>
      <c r="H103" s="92"/>
      <c r="I103" s="95"/>
      <c r="J103" s="96"/>
      <c r="K103" s="92"/>
      <c r="L103" s="94"/>
      <c r="M103" s="65" t="str">
        <f t="shared" ref="M103" si="4">IF(F103*J103*L103=0,"",F103*J103*L103)</f>
        <v/>
      </c>
      <c r="N103" s="92"/>
      <c r="O103" s="97"/>
      <c r="P103" s="98"/>
      <c r="Q103" s="95"/>
      <c r="R103" s="95"/>
      <c r="S103" s="95"/>
      <c r="T103" s="68" t="str">
        <f t="shared" si="2"/>
        <v/>
      </c>
    </row>
  </sheetData>
  <mergeCells count="18">
    <mergeCell ref="P10:T10"/>
    <mergeCell ref="E10:E11"/>
    <mergeCell ref="G10:G11"/>
    <mergeCell ref="H10:H11"/>
    <mergeCell ref="I10:L10"/>
    <mergeCell ref="M10:M11"/>
    <mergeCell ref="N10:N11"/>
    <mergeCell ref="O10:O11"/>
    <mergeCell ref="A2:T2"/>
    <mergeCell ref="A3:T3"/>
    <mergeCell ref="F6:G6"/>
    <mergeCell ref="B7:C7"/>
    <mergeCell ref="F8:G8"/>
    <mergeCell ref="A10:A11"/>
    <mergeCell ref="B10:B11"/>
    <mergeCell ref="C10:C11"/>
    <mergeCell ref="D10:D11"/>
    <mergeCell ref="F10:F11"/>
  </mergeCells>
  <conditionalFormatting sqref="S18">
    <cfRule type="cellIs" dxfId="38" priority="3" operator="greaterThan">
      <formula>100</formula>
    </cfRule>
  </conditionalFormatting>
  <conditionalFormatting sqref="T12:T103 M12:M103">
    <cfRule type="cellIs" dxfId="37" priority="1" operator="lessThan">
      <formula>100</formula>
    </cfRule>
    <cfRule type="cellIs" dxfId="36" priority="2" operator="greaterThan">
      <formula>100</formula>
    </cfRule>
  </conditionalFormatting>
  <pageMargins left="0.78740157499999996" right="0.78740157499999996" top="0.984251969" bottom="0.984251969" header="0.5" footer="0.5"/>
  <pageSetup paperSize="9" scale="40" orientation="portrait" r:id="rId1"/>
  <headerFooter alignWithMargins="0">
    <oddFooter>&amp;L&amp;F &amp;A&amp;C&amp;P / &amp;N&amp;RSQA, &amp;D &amp;T</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7C7A-F3FD-429A-8746-1825DF02C1C8}">
  <sheetPr>
    <tabColor rgb="FF00B050"/>
  </sheetPr>
  <dimension ref="A3:Y58"/>
  <sheetViews>
    <sheetView topLeftCell="A13" zoomScaleNormal="100" workbookViewId="0">
      <selection activeCell="M30" sqref="M30:M31"/>
    </sheetView>
  </sheetViews>
  <sheetFormatPr defaultRowHeight="15"/>
  <cols>
    <col min="1" max="1" width="12.28515625" style="142" customWidth="1"/>
    <col min="2" max="6" width="9.140625" style="142"/>
    <col min="7" max="7" width="9.42578125" style="142" customWidth="1"/>
    <col min="8" max="10" width="9.140625" style="142"/>
    <col min="11" max="11" width="8.85546875" style="142" customWidth="1"/>
    <col min="12" max="13" width="9.140625" style="142"/>
    <col min="14" max="14" width="10.85546875" style="142" customWidth="1"/>
    <col min="15" max="15" width="10.28515625" style="142" bestFit="1" customWidth="1"/>
    <col min="16" max="16384" width="9.140625" style="142"/>
  </cols>
  <sheetData>
    <row r="3" spans="1:25" ht="20.25">
      <c r="A3" s="142" t="s">
        <v>72</v>
      </c>
      <c r="I3" s="143" t="s">
        <v>73</v>
      </c>
      <c r="M3" s="143"/>
      <c r="O3" s="143"/>
      <c r="S3" s="144"/>
    </row>
    <row r="4" spans="1:25">
      <c r="A4" s="145" t="s">
        <v>74</v>
      </c>
      <c r="B4" s="146"/>
      <c r="C4" s="146"/>
      <c r="D4" s="146"/>
      <c r="E4" s="147" t="s">
        <v>75</v>
      </c>
      <c r="F4" s="148"/>
      <c r="G4" s="146"/>
      <c r="H4" s="146"/>
      <c r="I4" s="146"/>
      <c r="J4" s="146"/>
      <c r="K4" s="147" t="s">
        <v>76</v>
      </c>
      <c r="L4" s="146"/>
      <c r="M4" s="146"/>
      <c r="N4" s="149"/>
      <c r="O4" s="146"/>
      <c r="P4" s="146"/>
      <c r="Q4" s="146"/>
      <c r="R4" s="150"/>
      <c r="S4" s="150"/>
      <c r="T4" s="151"/>
    </row>
    <row r="5" spans="1:25">
      <c r="A5" s="687"/>
      <c r="B5" s="688"/>
      <c r="C5" s="688"/>
      <c r="D5" s="689"/>
      <c r="E5" s="690"/>
      <c r="F5" s="691"/>
      <c r="G5" s="691"/>
      <c r="H5" s="691"/>
      <c r="I5" s="691"/>
      <c r="J5" s="692"/>
      <c r="K5" s="152" t="s">
        <v>77</v>
      </c>
      <c r="L5" s="153"/>
      <c r="M5" s="153"/>
      <c r="N5" s="154"/>
      <c r="O5" s="153"/>
      <c r="P5" s="153"/>
      <c r="Q5" s="153"/>
      <c r="R5" s="155"/>
      <c r="S5" s="155"/>
      <c r="T5" s="151"/>
    </row>
    <row r="6" spans="1:25">
      <c r="A6" s="145" t="s">
        <v>78</v>
      </c>
      <c r="B6" s="146"/>
      <c r="C6" s="146"/>
      <c r="D6" s="146"/>
      <c r="E6" s="147" t="s">
        <v>79</v>
      </c>
      <c r="F6" s="148"/>
      <c r="G6" s="146"/>
      <c r="H6" s="146"/>
      <c r="I6" s="146"/>
      <c r="J6" s="146"/>
      <c r="K6" s="147" t="s">
        <v>80</v>
      </c>
      <c r="L6" s="146"/>
      <c r="M6" s="146"/>
      <c r="N6" s="149"/>
      <c r="O6" s="147" t="s">
        <v>81</v>
      </c>
      <c r="P6" s="146"/>
      <c r="Q6" s="146"/>
      <c r="R6" s="150"/>
      <c r="S6" s="150"/>
      <c r="T6" s="156"/>
      <c r="V6" s="157"/>
    </row>
    <row r="7" spans="1:25">
      <c r="A7" s="690"/>
      <c r="B7" s="691"/>
      <c r="C7" s="691"/>
      <c r="D7" s="692"/>
      <c r="E7" s="690"/>
      <c r="F7" s="691"/>
      <c r="G7" s="691"/>
      <c r="H7" s="691"/>
      <c r="I7" s="691"/>
      <c r="J7" s="692"/>
      <c r="K7" s="152"/>
      <c r="L7" s="153"/>
      <c r="M7" s="153"/>
      <c r="N7" s="154"/>
      <c r="O7" s="693"/>
      <c r="P7" s="694"/>
      <c r="Q7" s="694"/>
      <c r="R7" s="694"/>
      <c r="S7" s="695"/>
      <c r="T7" s="156"/>
      <c r="W7" s="158"/>
    </row>
    <row r="8" spans="1:25">
      <c r="A8" s="145" t="s">
        <v>82</v>
      </c>
      <c r="B8" s="146"/>
      <c r="C8" s="146"/>
      <c r="D8" s="146"/>
      <c r="E8" s="147" t="s">
        <v>83</v>
      </c>
      <c r="F8" s="148"/>
      <c r="G8" s="146"/>
      <c r="H8" s="146"/>
      <c r="I8" s="146"/>
      <c r="J8" s="159"/>
      <c r="K8" s="145"/>
      <c r="L8" s="146"/>
      <c r="M8" s="146"/>
      <c r="N8" s="146"/>
      <c r="O8" s="147" t="s">
        <v>84</v>
      </c>
      <c r="P8" s="146"/>
      <c r="Q8" s="146"/>
      <c r="R8" s="150"/>
      <c r="S8" s="150"/>
      <c r="T8" s="156"/>
      <c r="V8" s="157"/>
    </row>
    <row r="9" spans="1:25">
      <c r="A9" s="152" t="s">
        <v>85</v>
      </c>
      <c r="B9" s="153"/>
      <c r="C9" s="153"/>
      <c r="D9" s="153"/>
      <c r="E9" s="160" t="s">
        <v>86</v>
      </c>
      <c r="F9" s="153"/>
      <c r="G9" s="153"/>
      <c r="H9" s="153"/>
      <c r="I9" s="153"/>
      <c r="J9" s="161"/>
      <c r="K9" s="152"/>
      <c r="L9" s="153"/>
      <c r="M9" s="153"/>
      <c r="N9" s="153"/>
      <c r="O9" s="152"/>
      <c r="P9" s="153"/>
      <c r="Q9" s="153"/>
      <c r="R9" s="155"/>
      <c r="S9" s="162"/>
      <c r="T9" s="156"/>
      <c r="U9" s="163"/>
      <c r="V9" s="157"/>
    </row>
    <row r="10" spans="1:25">
      <c r="A10" s="696" t="s">
        <v>87</v>
      </c>
      <c r="B10" s="697"/>
      <c r="C10" s="164"/>
      <c r="D10" s="696" t="s">
        <v>88</v>
      </c>
      <c r="E10" s="698"/>
      <c r="F10" s="698"/>
      <c r="G10" s="697"/>
      <c r="H10" s="164"/>
      <c r="I10" s="696" t="s">
        <v>89</v>
      </c>
      <c r="J10" s="698"/>
      <c r="K10" s="697"/>
      <c r="L10" s="164"/>
      <c r="M10" s="696" t="s">
        <v>90</v>
      </c>
      <c r="N10" s="697"/>
      <c r="O10" s="165" t="s">
        <v>91</v>
      </c>
      <c r="P10" s="166"/>
      <c r="Q10" s="167"/>
      <c r="R10" s="166"/>
      <c r="S10" s="166"/>
      <c r="T10" s="156"/>
      <c r="V10" s="157"/>
    </row>
    <row r="11" spans="1:25">
      <c r="A11" s="699" t="s">
        <v>92</v>
      </c>
      <c r="B11" s="700"/>
      <c r="C11" s="168"/>
      <c r="D11" s="699" t="s">
        <v>93</v>
      </c>
      <c r="E11" s="701"/>
      <c r="F11" s="701"/>
      <c r="G11" s="700"/>
      <c r="H11" s="168"/>
      <c r="I11" s="699" t="s">
        <v>94</v>
      </c>
      <c r="J11" s="701"/>
      <c r="K11" s="700"/>
      <c r="L11" s="168"/>
      <c r="M11" s="699" t="s">
        <v>95</v>
      </c>
      <c r="N11" s="700"/>
      <c r="O11" s="168"/>
      <c r="P11" s="169"/>
      <c r="Q11" s="170"/>
      <c r="R11" s="169"/>
      <c r="S11" s="169"/>
      <c r="T11" s="156"/>
      <c r="W11" s="158"/>
    </row>
    <row r="12" spans="1:25" ht="16.5" thickBot="1">
      <c r="A12" s="171"/>
      <c r="B12" s="171"/>
      <c r="C12" s="171"/>
      <c r="D12" s="171"/>
      <c r="E12" s="172"/>
      <c r="F12" s="172"/>
      <c r="G12" s="171"/>
      <c r="H12" s="171"/>
      <c r="I12" s="171"/>
      <c r="J12" s="172" t="s">
        <v>96</v>
      </c>
      <c r="K12" s="171"/>
      <c r="L12" s="171"/>
      <c r="M12" s="172"/>
      <c r="N12" s="171"/>
      <c r="O12" s="171"/>
      <c r="P12" s="171"/>
      <c r="Q12" s="171"/>
      <c r="R12" s="171"/>
      <c r="S12" s="171"/>
    </row>
    <row r="13" spans="1:25">
      <c r="A13" s="173"/>
      <c r="B13" s="174"/>
      <c r="C13" s="174"/>
      <c r="D13" s="174"/>
      <c r="E13" s="174"/>
      <c r="F13" s="174"/>
      <c r="G13" s="174"/>
      <c r="H13" s="174"/>
      <c r="I13" s="174"/>
      <c r="J13" s="174"/>
      <c r="K13" s="174"/>
      <c r="L13" s="174"/>
      <c r="M13" s="173"/>
      <c r="N13" s="174"/>
      <c r="O13" s="174"/>
      <c r="P13" s="174"/>
      <c r="Q13" s="175" t="s">
        <v>97</v>
      </c>
      <c r="R13" s="176"/>
      <c r="S13" s="177"/>
      <c r="W13" s="157"/>
    </row>
    <row r="14" spans="1:25">
      <c r="A14" s="178"/>
      <c r="B14" s="168"/>
      <c r="C14" s="168"/>
      <c r="D14" s="168" t="s">
        <v>98</v>
      </c>
      <c r="E14" s="168"/>
      <c r="F14" s="168"/>
      <c r="G14" s="168"/>
      <c r="H14" s="168"/>
      <c r="I14" s="168"/>
      <c r="J14" s="168"/>
      <c r="K14" s="168"/>
      <c r="L14" s="168"/>
      <c r="M14" s="179" t="s">
        <v>99</v>
      </c>
      <c r="N14" s="174"/>
      <c r="O14" s="174"/>
      <c r="P14" s="174"/>
      <c r="Q14" s="180" t="s">
        <v>100</v>
      </c>
      <c r="R14" s="174"/>
      <c r="S14" s="181"/>
      <c r="W14" s="157"/>
    </row>
    <row r="15" spans="1:25">
      <c r="A15" s="182"/>
      <c r="B15" s="183"/>
      <c r="C15" s="183"/>
      <c r="D15" s="184"/>
      <c r="E15" s="184"/>
      <c r="F15" s="185"/>
      <c r="G15" s="186"/>
      <c r="H15" s="184"/>
      <c r="I15" s="184"/>
      <c r="J15" s="183"/>
      <c r="K15" s="183"/>
      <c r="L15" s="183"/>
      <c r="M15" s="187" t="s">
        <v>101</v>
      </c>
      <c r="N15" s="168"/>
      <c r="O15" s="168"/>
      <c r="P15" s="168"/>
      <c r="Q15" s="188" t="s">
        <v>102</v>
      </c>
      <c r="R15" s="168"/>
      <c r="S15" s="189"/>
      <c r="W15" s="157"/>
    </row>
    <row r="16" spans="1:25">
      <c r="A16" s="702"/>
      <c r="B16" s="703"/>
      <c r="C16" s="703"/>
      <c r="D16" s="703"/>
      <c r="E16" s="703"/>
      <c r="F16" s="704"/>
      <c r="G16" s="182"/>
      <c r="H16" s="183"/>
      <c r="I16" s="183"/>
      <c r="J16" s="183"/>
      <c r="K16" s="183"/>
      <c r="L16" s="183"/>
      <c r="M16" s="179" t="s">
        <v>103</v>
      </c>
      <c r="N16" s="174"/>
      <c r="O16" s="174"/>
      <c r="P16" s="174"/>
      <c r="Q16" s="684"/>
      <c r="R16" s="685"/>
      <c r="S16" s="686"/>
      <c r="W16" s="158"/>
      <c r="X16" s="158"/>
      <c r="Y16" s="158"/>
    </row>
    <row r="17" spans="1:25">
      <c r="A17" s="182"/>
      <c r="B17" s="183"/>
      <c r="C17" s="183"/>
      <c r="D17" s="183"/>
      <c r="E17" s="183"/>
      <c r="F17" s="190"/>
      <c r="G17" s="182"/>
      <c r="H17" s="183"/>
      <c r="I17" s="183"/>
      <c r="J17" s="183"/>
      <c r="K17" s="183"/>
      <c r="L17" s="183"/>
      <c r="M17" s="187" t="s">
        <v>104</v>
      </c>
      <c r="N17" s="168"/>
      <c r="O17" s="168"/>
      <c r="P17" s="168"/>
      <c r="Q17" s="707"/>
      <c r="R17" s="708"/>
      <c r="S17" s="709"/>
      <c r="W17" s="158"/>
      <c r="X17" s="158"/>
      <c r="Y17" s="158"/>
    </row>
    <row r="18" spans="1:25">
      <c r="A18" s="182"/>
      <c r="B18" s="183"/>
      <c r="C18" s="183"/>
      <c r="D18" s="183"/>
      <c r="E18" s="183"/>
      <c r="F18" s="190"/>
      <c r="G18" s="182"/>
      <c r="H18" s="183"/>
      <c r="I18" s="183"/>
      <c r="J18" s="183"/>
      <c r="K18" s="183"/>
      <c r="L18" s="183"/>
      <c r="M18" s="179" t="s">
        <v>105</v>
      </c>
      <c r="N18" s="174"/>
      <c r="O18" s="174"/>
      <c r="P18" s="174"/>
      <c r="Q18" s="684"/>
      <c r="R18" s="685"/>
      <c r="S18" s="686"/>
      <c r="W18" s="158"/>
      <c r="X18" s="158"/>
      <c r="Y18" s="158"/>
    </row>
    <row r="19" spans="1:25">
      <c r="A19" s="182"/>
      <c r="B19" s="183"/>
      <c r="C19" s="183"/>
      <c r="D19" s="183"/>
      <c r="E19" s="183"/>
      <c r="F19" s="190"/>
      <c r="G19" s="182"/>
      <c r="H19" s="183"/>
      <c r="I19" s="183"/>
      <c r="J19" s="183"/>
      <c r="K19" s="183"/>
      <c r="L19" s="183"/>
      <c r="M19" s="187" t="s">
        <v>106</v>
      </c>
      <c r="N19" s="168"/>
      <c r="O19" s="168"/>
      <c r="P19" s="168"/>
      <c r="Q19" s="707"/>
      <c r="R19" s="708"/>
      <c r="S19" s="709"/>
      <c r="W19" s="158"/>
      <c r="X19" s="158"/>
      <c r="Y19" s="158"/>
    </row>
    <row r="20" spans="1:25">
      <c r="A20" s="182"/>
      <c r="B20" s="183"/>
      <c r="C20" s="183"/>
      <c r="D20" s="183"/>
      <c r="E20" s="183"/>
      <c r="F20" s="190"/>
      <c r="G20" s="182"/>
      <c r="H20" s="183"/>
      <c r="I20" s="183"/>
      <c r="J20" s="183"/>
      <c r="K20" s="183"/>
      <c r="L20" s="183"/>
      <c r="M20" s="179" t="s">
        <v>107</v>
      </c>
      <c r="N20" s="174"/>
      <c r="O20" s="174"/>
      <c r="P20" s="174"/>
      <c r="Q20" s="684"/>
      <c r="R20" s="685"/>
      <c r="S20" s="686"/>
      <c r="W20" s="158"/>
      <c r="X20" s="158"/>
      <c r="Y20" s="158"/>
    </row>
    <row r="21" spans="1:25" ht="15.75" thickBot="1">
      <c r="A21" s="182"/>
      <c r="B21" s="183"/>
      <c r="C21" s="183"/>
      <c r="D21" s="183"/>
      <c r="E21" s="183"/>
      <c r="F21" s="190"/>
      <c r="G21" s="182"/>
      <c r="H21" s="183"/>
      <c r="I21" s="183"/>
      <c r="J21" s="183"/>
      <c r="K21" s="183"/>
      <c r="L21" s="183"/>
      <c r="M21" s="187" t="s">
        <v>108</v>
      </c>
      <c r="N21" s="168"/>
      <c r="O21" s="168"/>
      <c r="P21" s="168"/>
      <c r="Q21" s="710"/>
      <c r="R21" s="711"/>
      <c r="S21" s="712"/>
      <c r="W21" s="158"/>
      <c r="X21" s="158"/>
      <c r="Y21" s="158"/>
    </row>
    <row r="22" spans="1:25">
      <c r="A22" s="713"/>
      <c r="B22" s="713"/>
      <c r="C22" s="713"/>
      <c r="D22" s="713"/>
      <c r="E22" s="713"/>
      <c r="F22" s="713"/>
      <c r="G22" s="713"/>
      <c r="H22" s="713"/>
      <c r="I22" s="713"/>
      <c r="J22" s="713"/>
      <c r="K22" s="713"/>
      <c r="L22" s="713"/>
      <c r="M22" s="713"/>
      <c r="N22" s="713"/>
      <c r="O22" s="713"/>
      <c r="P22" s="713"/>
      <c r="Q22" s="713"/>
      <c r="R22" s="713"/>
      <c r="S22" s="713"/>
      <c r="W22" s="158"/>
      <c r="X22" s="158"/>
      <c r="Y22" s="158"/>
    </row>
    <row r="23" spans="1:25">
      <c r="A23" s="713"/>
      <c r="B23" s="713"/>
      <c r="C23" s="713"/>
      <c r="D23" s="713"/>
      <c r="E23" s="713"/>
      <c r="F23" s="713"/>
      <c r="G23" s="713"/>
      <c r="H23" s="713"/>
      <c r="I23" s="713"/>
      <c r="J23" s="713"/>
      <c r="K23" s="713"/>
      <c r="L23" s="713"/>
      <c r="M23" s="713"/>
      <c r="N23" s="713"/>
      <c r="O23" s="713"/>
      <c r="P23" s="713"/>
      <c r="Q23" s="713"/>
      <c r="R23" s="713"/>
      <c r="S23" s="713"/>
      <c r="W23" s="158"/>
      <c r="X23" s="158"/>
      <c r="Y23" s="158"/>
    </row>
    <row r="24" spans="1:25">
      <c r="A24" s="713"/>
      <c r="B24" s="713"/>
      <c r="C24" s="713"/>
      <c r="D24" s="713"/>
      <c r="E24" s="713"/>
      <c r="F24" s="713"/>
      <c r="G24" s="713"/>
      <c r="H24" s="713"/>
      <c r="I24" s="713"/>
      <c r="J24" s="713"/>
      <c r="K24" s="713"/>
      <c r="L24" s="713"/>
      <c r="M24" s="713"/>
      <c r="N24" s="713"/>
      <c r="O24" s="713"/>
      <c r="P24" s="713"/>
      <c r="Q24" s="713"/>
      <c r="R24" s="713"/>
      <c r="S24" s="713"/>
      <c r="W24" s="158"/>
      <c r="X24" s="158"/>
      <c r="Y24" s="158"/>
    </row>
    <row r="25" spans="1:25">
      <c r="A25" s="713"/>
      <c r="B25" s="713"/>
      <c r="C25" s="713"/>
      <c r="D25" s="713"/>
      <c r="E25" s="713"/>
      <c r="F25" s="713"/>
      <c r="G25" s="713"/>
      <c r="H25" s="713"/>
      <c r="I25" s="713"/>
      <c r="J25" s="713"/>
      <c r="K25" s="713"/>
      <c r="L25" s="713"/>
      <c r="M25" s="713"/>
      <c r="N25" s="713"/>
      <c r="O25" s="713"/>
      <c r="P25" s="713"/>
      <c r="Q25" s="713"/>
      <c r="R25" s="713"/>
      <c r="S25" s="713"/>
      <c r="W25" s="158"/>
      <c r="X25" s="158"/>
      <c r="Y25" s="158"/>
    </row>
    <row r="26" spans="1:25">
      <c r="A26" s="714"/>
      <c r="B26" s="714"/>
      <c r="C26" s="714"/>
      <c r="D26" s="714"/>
      <c r="E26" s="714"/>
      <c r="F26" s="714"/>
      <c r="G26" s="714"/>
      <c r="H26" s="714"/>
      <c r="I26" s="714"/>
      <c r="J26" s="714"/>
      <c r="K26" s="714"/>
      <c r="L26" s="714"/>
      <c r="M26" s="714"/>
      <c r="N26" s="714"/>
      <c r="O26" s="714"/>
      <c r="P26" s="714"/>
      <c r="Q26" s="714"/>
      <c r="R26" s="714"/>
      <c r="S26" s="714"/>
      <c r="W26" s="158"/>
      <c r="X26" s="158"/>
      <c r="Y26" s="158"/>
    </row>
    <row r="27" spans="1:25" ht="15.75">
      <c r="A27" s="191"/>
      <c r="B27" s="191"/>
      <c r="C27" s="191"/>
      <c r="D27" s="191"/>
      <c r="E27" s="191"/>
      <c r="F27" s="191"/>
      <c r="G27" s="191"/>
      <c r="H27" s="191"/>
      <c r="I27" s="191"/>
      <c r="J27" s="191"/>
      <c r="K27" s="191"/>
      <c r="L27" s="191"/>
      <c r="M27" s="192"/>
      <c r="N27" s="191"/>
      <c r="O27" s="191"/>
      <c r="P27" s="191"/>
      <c r="Q27" s="191"/>
      <c r="R27" s="191"/>
      <c r="S27" s="191"/>
    </row>
    <row r="28" spans="1:25" ht="15.75">
      <c r="A28" s="191"/>
      <c r="B28" s="191"/>
      <c r="C28" s="191"/>
      <c r="D28" s="191"/>
      <c r="E28" s="191"/>
      <c r="F28" s="191"/>
      <c r="G28" s="191"/>
      <c r="H28" s="191"/>
      <c r="I28" s="191"/>
      <c r="J28" s="192" t="s">
        <v>109</v>
      </c>
      <c r="K28" s="191"/>
      <c r="L28" s="191"/>
      <c r="M28" s="191"/>
      <c r="N28" s="191"/>
      <c r="O28" s="191"/>
      <c r="P28" s="191"/>
      <c r="Q28" s="191"/>
      <c r="R28" s="191"/>
      <c r="S28" s="191"/>
      <c r="X28" s="193"/>
      <c r="Y28" s="193"/>
    </row>
    <row r="29" spans="1:25" ht="16.5" thickBot="1">
      <c r="A29" s="191"/>
      <c r="B29" s="191"/>
      <c r="C29" s="191"/>
      <c r="D29" s="191"/>
      <c r="E29" s="192"/>
      <c r="F29" s="192"/>
      <c r="G29" s="191"/>
      <c r="H29" s="191"/>
      <c r="I29" s="191"/>
      <c r="J29" s="192"/>
      <c r="K29" s="191"/>
      <c r="L29" s="191"/>
      <c r="M29" s="191"/>
      <c r="N29" s="191"/>
      <c r="O29" s="191"/>
      <c r="P29" s="191"/>
      <c r="Q29" s="191"/>
      <c r="R29" s="191" t="s">
        <v>110</v>
      </c>
      <c r="S29" s="191"/>
    </row>
    <row r="30" spans="1:25" ht="27" customHeight="1">
      <c r="A30" s="715" t="s">
        <v>111</v>
      </c>
      <c r="B30" s="717"/>
      <c r="C30" s="719"/>
      <c r="D30" s="719"/>
      <c r="E30" s="705"/>
      <c r="F30" s="705"/>
      <c r="G30" s="705"/>
      <c r="H30" s="705"/>
      <c r="I30" s="705"/>
      <c r="J30" s="705"/>
      <c r="K30" s="705"/>
      <c r="L30" s="705"/>
      <c r="M30" s="705"/>
      <c r="N30" s="705"/>
      <c r="O30" s="705"/>
      <c r="P30" s="705"/>
      <c r="Q30" s="724"/>
      <c r="R30" s="725"/>
      <c r="S30" s="726"/>
    </row>
    <row r="31" spans="1:25" ht="17.25" customHeight="1" thickBot="1">
      <c r="A31" s="716"/>
      <c r="B31" s="718"/>
      <c r="C31" s="720"/>
      <c r="D31" s="720"/>
      <c r="E31" s="706"/>
      <c r="F31" s="706"/>
      <c r="G31" s="706"/>
      <c r="H31" s="706"/>
      <c r="I31" s="706"/>
      <c r="J31" s="706"/>
      <c r="K31" s="706"/>
      <c r="L31" s="706"/>
      <c r="M31" s="706"/>
      <c r="N31" s="706"/>
      <c r="O31" s="706"/>
      <c r="P31" s="706"/>
      <c r="Q31" s="727"/>
      <c r="R31" s="728"/>
      <c r="S31" s="729"/>
    </row>
    <row r="32" spans="1:25" ht="17.25" customHeight="1" thickBot="1">
      <c r="A32" s="194" t="s">
        <v>112</v>
      </c>
      <c r="B32" s="195"/>
      <c r="C32" s="196"/>
      <c r="D32" s="197"/>
      <c r="E32" s="197"/>
      <c r="F32" s="197"/>
      <c r="G32" s="197"/>
      <c r="H32" s="197"/>
      <c r="I32" s="197"/>
      <c r="J32" s="197"/>
      <c r="K32" s="197"/>
      <c r="L32" s="197"/>
      <c r="M32" s="197"/>
      <c r="N32" s="197"/>
      <c r="O32" s="197"/>
      <c r="P32" s="198"/>
      <c r="Q32" s="721"/>
      <c r="R32" s="722"/>
      <c r="S32" s="723"/>
    </row>
    <row r="33" spans="1:19">
      <c r="A33" s="730" t="s">
        <v>113</v>
      </c>
      <c r="B33" s="199" t="s">
        <v>114</v>
      </c>
      <c r="C33" s="200"/>
      <c r="D33" s="200"/>
      <c r="E33" s="200"/>
      <c r="F33" s="200"/>
      <c r="G33" s="200"/>
      <c r="H33" s="200"/>
      <c r="I33" s="200"/>
      <c r="J33" s="200"/>
      <c r="K33" s="200"/>
      <c r="L33" s="200"/>
      <c r="M33" s="200"/>
      <c r="N33" s="200"/>
      <c r="O33" s="200"/>
      <c r="P33" s="201"/>
      <c r="Q33" s="721"/>
      <c r="R33" s="722"/>
      <c r="S33" s="723"/>
    </row>
    <row r="34" spans="1:19">
      <c r="A34" s="731"/>
      <c r="B34" s="202" t="s">
        <v>115</v>
      </c>
      <c r="C34" s="203"/>
      <c r="D34" s="203"/>
      <c r="E34" s="203"/>
      <c r="F34" s="203"/>
      <c r="G34" s="203"/>
      <c r="H34" s="203"/>
      <c r="I34" s="203"/>
      <c r="J34" s="203"/>
      <c r="K34" s="203"/>
      <c r="L34" s="203"/>
      <c r="M34" s="203"/>
      <c r="N34" s="203"/>
      <c r="O34" s="203"/>
      <c r="P34" s="204"/>
      <c r="Q34" s="721"/>
      <c r="R34" s="722"/>
      <c r="S34" s="723"/>
    </row>
    <row r="35" spans="1:19">
      <c r="A35" s="731"/>
      <c r="B35" s="202" t="s">
        <v>116</v>
      </c>
      <c r="C35" s="203"/>
      <c r="D35" s="203"/>
      <c r="E35" s="203"/>
      <c r="F35" s="203"/>
      <c r="G35" s="203"/>
      <c r="H35" s="203"/>
      <c r="I35" s="203"/>
      <c r="J35" s="203"/>
      <c r="K35" s="203"/>
      <c r="L35" s="203"/>
      <c r="M35" s="203"/>
      <c r="N35" s="203"/>
      <c r="O35" s="203"/>
      <c r="P35" s="204"/>
      <c r="Q35" s="721"/>
      <c r="R35" s="722"/>
      <c r="S35" s="723"/>
    </row>
    <row r="36" spans="1:19">
      <c r="A36" s="731"/>
      <c r="B36" s="202" t="s">
        <v>117</v>
      </c>
      <c r="C36" s="203"/>
      <c r="D36" s="203"/>
      <c r="E36" s="203"/>
      <c r="F36" s="203"/>
      <c r="G36" s="203"/>
      <c r="H36" s="203"/>
      <c r="I36" s="203"/>
      <c r="J36" s="203"/>
      <c r="K36" s="203"/>
      <c r="L36" s="203"/>
      <c r="M36" s="203"/>
      <c r="N36" s="203"/>
      <c r="O36" s="203"/>
      <c r="P36" s="204"/>
      <c r="Q36" s="721"/>
      <c r="R36" s="722"/>
      <c r="S36" s="723"/>
    </row>
    <row r="37" spans="1:19" ht="15.75" thickBot="1">
      <c r="A37" s="732"/>
      <c r="B37" s="205" t="s">
        <v>118</v>
      </c>
      <c r="C37" s="206"/>
      <c r="D37" s="206"/>
      <c r="E37" s="206"/>
      <c r="F37" s="206"/>
      <c r="G37" s="206"/>
      <c r="H37" s="206"/>
      <c r="I37" s="206"/>
      <c r="J37" s="206"/>
      <c r="K37" s="206"/>
      <c r="L37" s="206"/>
      <c r="M37" s="206"/>
      <c r="N37" s="206"/>
      <c r="O37" s="206"/>
      <c r="P37" s="207"/>
      <c r="Q37" s="721"/>
      <c r="R37" s="722"/>
      <c r="S37" s="723"/>
    </row>
    <row r="38" spans="1:19">
      <c r="A38" s="208" t="s">
        <v>119</v>
      </c>
      <c r="B38" s="209"/>
      <c r="C38" s="210"/>
      <c r="D38" s="210"/>
      <c r="E38" s="200"/>
      <c r="F38" s="200"/>
      <c r="G38" s="200"/>
      <c r="H38" s="200"/>
      <c r="I38" s="200"/>
      <c r="J38" s="200"/>
      <c r="K38" s="200"/>
      <c r="L38" s="200"/>
      <c r="M38" s="200"/>
      <c r="N38" s="200"/>
      <c r="O38" s="200"/>
      <c r="P38" s="201"/>
      <c r="Q38" s="721"/>
      <c r="R38" s="722"/>
      <c r="S38" s="723"/>
    </row>
    <row r="39" spans="1:19">
      <c r="A39" s="211" t="s">
        <v>120</v>
      </c>
      <c r="B39" s="212"/>
      <c r="C39" s="213"/>
      <c r="D39" s="213"/>
      <c r="E39" s="203"/>
      <c r="F39" s="203"/>
      <c r="G39" s="203"/>
      <c r="H39" s="203"/>
      <c r="I39" s="203"/>
      <c r="J39" s="203"/>
      <c r="K39" s="203"/>
      <c r="L39" s="203"/>
      <c r="M39" s="203"/>
      <c r="N39" s="203"/>
      <c r="O39" s="203"/>
      <c r="P39" s="204"/>
      <c r="Q39" s="721"/>
      <c r="R39" s="722"/>
      <c r="S39" s="723"/>
    </row>
    <row r="40" spans="1:19" ht="35.25" customHeight="1">
      <c r="A40" s="211" t="s">
        <v>121</v>
      </c>
      <c r="B40" s="212"/>
      <c r="C40" s="214"/>
      <c r="D40" s="214"/>
      <c r="E40" s="203"/>
      <c r="F40" s="203"/>
      <c r="G40" s="203"/>
      <c r="H40" s="203"/>
      <c r="I40" s="203"/>
      <c r="J40" s="203"/>
      <c r="K40" s="203"/>
      <c r="L40" s="203"/>
      <c r="M40" s="203"/>
      <c r="N40" s="203"/>
      <c r="O40" s="203"/>
      <c r="P40" s="204"/>
      <c r="Q40" s="733" t="s">
        <v>122</v>
      </c>
      <c r="R40" s="734"/>
      <c r="S40" s="735"/>
    </row>
    <row r="41" spans="1:19" ht="23.25" thickBot="1">
      <c r="A41" s="215" t="s">
        <v>123</v>
      </c>
      <c r="B41" s="216"/>
      <c r="C41" s="217"/>
      <c r="D41" s="217"/>
      <c r="E41" s="206"/>
      <c r="F41" s="206"/>
      <c r="G41" s="206"/>
      <c r="H41" s="206"/>
      <c r="I41" s="206"/>
      <c r="J41" s="206"/>
      <c r="K41" s="206"/>
      <c r="L41" s="206"/>
      <c r="M41" s="206"/>
      <c r="N41" s="206"/>
      <c r="O41" s="206"/>
      <c r="P41" s="207"/>
      <c r="Q41" s="721"/>
      <c r="R41" s="722"/>
      <c r="S41" s="723"/>
    </row>
    <row r="42" spans="1:19">
      <c r="A42" s="730" t="s">
        <v>124</v>
      </c>
      <c r="B42" s="218" t="s">
        <v>125</v>
      </c>
      <c r="C42" s="200"/>
      <c r="D42" s="200"/>
      <c r="E42" s="200"/>
      <c r="F42" s="200"/>
      <c r="G42" s="200"/>
      <c r="H42" s="200"/>
      <c r="I42" s="200"/>
      <c r="J42" s="200"/>
      <c r="K42" s="200"/>
      <c r="L42" s="200"/>
      <c r="M42" s="200"/>
      <c r="N42" s="200"/>
      <c r="O42" s="200"/>
      <c r="P42" s="201"/>
      <c r="Q42" s="721"/>
      <c r="R42" s="722"/>
      <c r="S42" s="723"/>
    </row>
    <row r="43" spans="1:19">
      <c r="A43" s="731"/>
      <c r="B43" s="219" t="s">
        <v>126</v>
      </c>
      <c r="C43" s="203"/>
      <c r="D43" s="203"/>
      <c r="E43" s="203"/>
      <c r="F43" s="203"/>
      <c r="G43" s="203"/>
      <c r="H43" s="203"/>
      <c r="I43" s="203"/>
      <c r="J43" s="203"/>
      <c r="K43" s="203"/>
      <c r="L43" s="203"/>
      <c r="M43" s="203"/>
      <c r="N43" s="203"/>
      <c r="O43" s="203"/>
      <c r="P43" s="204"/>
      <c r="Q43" s="721"/>
      <c r="R43" s="722"/>
      <c r="S43" s="723"/>
    </row>
    <row r="44" spans="1:19">
      <c r="A44" s="731"/>
      <c r="B44" s="219" t="s">
        <v>127</v>
      </c>
      <c r="C44" s="203"/>
      <c r="D44" s="203"/>
      <c r="E44" s="203"/>
      <c r="F44" s="203"/>
      <c r="G44" s="203"/>
      <c r="H44" s="203"/>
      <c r="I44" s="203"/>
      <c r="J44" s="203"/>
      <c r="K44" s="203"/>
      <c r="L44" s="203"/>
      <c r="M44" s="203"/>
      <c r="N44" s="203"/>
      <c r="O44" s="203"/>
      <c r="P44" s="204"/>
      <c r="Q44" s="721"/>
      <c r="R44" s="722"/>
      <c r="S44" s="723"/>
    </row>
    <row r="45" spans="1:19">
      <c r="A45" s="731"/>
      <c r="B45" s="219" t="s">
        <v>128</v>
      </c>
      <c r="C45" s="203"/>
      <c r="D45" s="203"/>
      <c r="E45" s="203"/>
      <c r="F45" s="203"/>
      <c r="G45" s="203"/>
      <c r="H45" s="203"/>
      <c r="I45" s="203"/>
      <c r="J45" s="203"/>
      <c r="K45" s="203"/>
      <c r="L45" s="203"/>
      <c r="M45" s="203"/>
      <c r="N45" s="203"/>
      <c r="O45" s="203"/>
      <c r="P45" s="204"/>
      <c r="Q45" s="721"/>
      <c r="R45" s="722"/>
      <c r="S45" s="723"/>
    </row>
    <row r="46" spans="1:19">
      <c r="A46" s="731" t="s">
        <v>129</v>
      </c>
      <c r="B46" s="219" t="s">
        <v>130</v>
      </c>
      <c r="C46" s="203"/>
      <c r="D46" s="203"/>
      <c r="E46" s="203"/>
      <c r="F46" s="203"/>
      <c r="G46" s="203"/>
      <c r="H46" s="203"/>
      <c r="I46" s="203"/>
      <c r="J46" s="203"/>
      <c r="K46" s="203"/>
      <c r="L46" s="203"/>
      <c r="M46" s="203"/>
      <c r="N46" s="203"/>
      <c r="O46" s="203"/>
      <c r="P46" s="204"/>
      <c r="Q46" s="721"/>
      <c r="R46" s="722"/>
      <c r="S46" s="723"/>
    </row>
    <row r="47" spans="1:19">
      <c r="A47" s="731"/>
      <c r="B47" s="219" t="s">
        <v>131</v>
      </c>
      <c r="C47" s="203"/>
      <c r="D47" s="203"/>
      <c r="E47" s="203"/>
      <c r="F47" s="203"/>
      <c r="G47" s="203"/>
      <c r="H47" s="203"/>
      <c r="I47" s="203"/>
      <c r="J47" s="203"/>
      <c r="K47" s="203"/>
      <c r="L47" s="203"/>
      <c r="M47" s="203"/>
      <c r="N47" s="203"/>
      <c r="O47" s="203"/>
      <c r="P47" s="204"/>
      <c r="Q47" s="721"/>
      <c r="R47" s="722"/>
      <c r="S47" s="723"/>
    </row>
    <row r="48" spans="1:19">
      <c r="A48" s="731" t="s">
        <v>132</v>
      </c>
      <c r="B48" s="219" t="s">
        <v>133</v>
      </c>
      <c r="C48" s="203"/>
      <c r="D48" s="203"/>
      <c r="E48" s="203"/>
      <c r="F48" s="203"/>
      <c r="G48" s="203"/>
      <c r="H48" s="203"/>
      <c r="I48" s="203"/>
      <c r="J48" s="203"/>
      <c r="K48" s="203"/>
      <c r="L48" s="203"/>
      <c r="M48" s="203"/>
      <c r="N48" s="203"/>
      <c r="O48" s="203"/>
      <c r="P48" s="204"/>
      <c r="Q48" s="721"/>
      <c r="R48" s="722"/>
      <c r="S48" s="723"/>
    </row>
    <row r="49" spans="1:19">
      <c r="A49" s="731"/>
      <c r="B49" s="219" t="s">
        <v>134</v>
      </c>
      <c r="C49" s="203"/>
      <c r="D49" s="203"/>
      <c r="E49" s="203"/>
      <c r="F49" s="203"/>
      <c r="G49" s="203"/>
      <c r="H49" s="203"/>
      <c r="I49" s="203"/>
      <c r="J49" s="203"/>
      <c r="K49" s="203"/>
      <c r="L49" s="203"/>
      <c r="M49" s="203"/>
      <c r="N49" s="203"/>
      <c r="O49" s="203"/>
      <c r="P49" s="204"/>
      <c r="Q49" s="721"/>
      <c r="R49" s="722"/>
      <c r="S49" s="723"/>
    </row>
    <row r="50" spans="1:19">
      <c r="A50" s="731" t="s">
        <v>135</v>
      </c>
      <c r="B50" s="219" t="s">
        <v>136</v>
      </c>
      <c r="C50" s="203"/>
      <c r="D50" s="203"/>
      <c r="E50" s="203"/>
      <c r="F50" s="203"/>
      <c r="G50" s="203"/>
      <c r="H50" s="203"/>
      <c r="I50" s="203"/>
      <c r="J50" s="203"/>
      <c r="K50" s="203"/>
      <c r="L50" s="203"/>
      <c r="M50" s="203"/>
      <c r="N50" s="203"/>
      <c r="O50" s="203"/>
      <c r="P50" s="204"/>
      <c r="Q50" s="721"/>
      <c r="R50" s="722"/>
      <c r="S50" s="723"/>
    </row>
    <row r="51" spans="1:19">
      <c r="A51" s="731"/>
      <c r="B51" s="219" t="s">
        <v>137</v>
      </c>
      <c r="C51" s="203"/>
      <c r="D51" s="203"/>
      <c r="E51" s="203"/>
      <c r="F51" s="203"/>
      <c r="G51" s="203"/>
      <c r="H51" s="203"/>
      <c r="I51" s="203"/>
      <c r="J51" s="203"/>
      <c r="K51" s="203"/>
      <c r="L51" s="203"/>
      <c r="M51" s="203"/>
      <c r="N51" s="203"/>
      <c r="O51" s="203"/>
      <c r="P51" s="204"/>
      <c r="Q51" s="721"/>
      <c r="R51" s="722"/>
      <c r="S51" s="723"/>
    </row>
    <row r="52" spans="1:19" ht="15" customHeight="1">
      <c r="A52" s="731" t="s">
        <v>138</v>
      </c>
      <c r="B52" s="219" t="s">
        <v>136</v>
      </c>
      <c r="C52" s="203"/>
      <c r="D52" s="203"/>
      <c r="E52" s="203"/>
      <c r="F52" s="203"/>
      <c r="G52" s="203"/>
      <c r="H52" s="203"/>
      <c r="I52" s="203"/>
      <c r="J52" s="203"/>
      <c r="K52" s="203"/>
      <c r="L52" s="203"/>
      <c r="M52" s="203"/>
      <c r="N52" s="203"/>
      <c r="O52" s="203"/>
      <c r="P52" s="204"/>
      <c r="Q52" s="721"/>
      <c r="R52" s="722"/>
      <c r="S52" s="723"/>
    </row>
    <row r="53" spans="1:19" ht="15.75" thickBot="1">
      <c r="A53" s="732"/>
      <c r="B53" s="220" t="s">
        <v>137</v>
      </c>
      <c r="C53" s="203"/>
      <c r="D53" s="206"/>
      <c r="E53" s="206"/>
      <c r="F53" s="206"/>
      <c r="G53" s="206"/>
      <c r="H53" s="206"/>
      <c r="I53" s="206"/>
      <c r="J53" s="206"/>
      <c r="K53" s="206"/>
      <c r="L53" s="206"/>
      <c r="M53" s="206"/>
      <c r="N53" s="206"/>
      <c r="O53" s="206"/>
      <c r="P53" s="207"/>
      <c r="Q53" s="721"/>
      <c r="R53" s="722"/>
      <c r="S53" s="723"/>
    </row>
    <row r="54" spans="1:19" ht="38.25" customHeight="1">
      <c r="A54" s="208" t="s">
        <v>139</v>
      </c>
      <c r="B54" s="209"/>
      <c r="C54" s="200"/>
      <c r="D54" s="200"/>
      <c r="E54" s="200"/>
      <c r="F54" s="200"/>
      <c r="G54" s="200"/>
      <c r="H54" s="200"/>
      <c r="I54" s="200"/>
      <c r="J54" s="200"/>
      <c r="K54" s="200"/>
      <c r="L54" s="200"/>
      <c r="M54" s="200"/>
      <c r="N54" s="200"/>
      <c r="O54" s="200"/>
      <c r="P54" s="201"/>
      <c r="Q54" s="721"/>
      <c r="R54" s="722"/>
      <c r="S54" s="723"/>
    </row>
    <row r="55" spans="1:19" ht="36.75" customHeight="1" thickBot="1">
      <c r="A55" s="221" t="s">
        <v>140</v>
      </c>
      <c r="B55" s="216"/>
      <c r="C55" s="206"/>
      <c r="D55" s="206"/>
      <c r="E55" s="206"/>
      <c r="F55" s="206"/>
      <c r="G55" s="206"/>
      <c r="H55" s="206"/>
      <c r="I55" s="206"/>
      <c r="J55" s="206"/>
      <c r="K55" s="206"/>
      <c r="L55" s="206"/>
      <c r="M55" s="206"/>
      <c r="N55" s="206"/>
      <c r="O55" s="206"/>
      <c r="P55" s="207"/>
      <c r="Q55" s="738"/>
      <c r="R55" s="739"/>
      <c r="S55" s="740"/>
    </row>
    <row r="56" spans="1:19" ht="15.75" thickBot="1">
      <c r="A56" s="222"/>
      <c r="B56" s="191"/>
      <c r="C56" s="191"/>
      <c r="D56" s="191"/>
      <c r="E56" s="191"/>
      <c r="F56" s="191"/>
      <c r="G56" s="191"/>
      <c r="H56" s="191"/>
      <c r="I56" s="191"/>
      <c r="J56" s="191"/>
      <c r="K56" s="191"/>
      <c r="L56" s="191"/>
      <c r="M56" s="191"/>
      <c r="N56" s="191"/>
      <c r="O56" s="191"/>
      <c r="P56" s="191"/>
      <c r="Q56" s="191"/>
      <c r="R56" s="191"/>
      <c r="S56" s="191"/>
    </row>
    <row r="57" spans="1:19" ht="14.25" customHeight="1">
      <c r="A57" s="741"/>
      <c r="B57" s="742"/>
      <c r="C57" s="743" t="s">
        <v>141</v>
      </c>
      <c r="D57" s="743"/>
      <c r="E57" s="744" t="s">
        <v>142</v>
      </c>
      <c r="F57" s="745"/>
      <c r="G57" s="746"/>
      <c r="H57" s="744" t="s">
        <v>81</v>
      </c>
      <c r="I57" s="747"/>
      <c r="J57" s="748" t="s">
        <v>143</v>
      </c>
      <c r="K57" s="749"/>
      <c r="L57" s="749"/>
      <c r="M57" s="749"/>
      <c r="N57" s="750"/>
      <c r="O57" s="751" t="s">
        <v>81</v>
      </c>
      <c r="P57" s="752"/>
      <c r="Q57" s="191"/>
      <c r="R57" s="191"/>
      <c r="S57" s="191"/>
    </row>
    <row r="58" spans="1:19" ht="25.5" customHeight="1" thickBot="1">
      <c r="A58" s="753"/>
      <c r="B58" s="754"/>
      <c r="C58" s="755"/>
      <c r="D58" s="755"/>
      <c r="E58" s="756"/>
      <c r="F58" s="757"/>
      <c r="G58" s="758"/>
      <c r="H58" s="759"/>
      <c r="I58" s="760"/>
      <c r="J58" s="761"/>
      <c r="K58" s="762"/>
      <c r="L58" s="762"/>
      <c r="M58" s="762"/>
      <c r="N58" s="763"/>
      <c r="O58" s="736"/>
      <c r="P58" s="737"/>
      <c r="Q58" s="191"/>
      <c r="R58" s="191"/>
      <c r="S58" s="191"/>
    </row>
  </sheetData>
  <mergeCells count="80">
    <mergeCell ref="O58:P58"/>
    <mergeCell ref="Q54:S54"/>
    <mergeCell ref="Q55:S55"/>
    <mergeCell ref="A57:B57"/>
    <mergeCell ref="C57:D57"/>
    <mergeCell ref="E57:G57"/>
    <mergeCell ref="H57:I57"/>
    <mergeCell ref="J57:N57"/>
    <mergeCell ref="O57:P57"/>
    <mergeCell ref="A58:B58"/>
    <mergeCell ref="C58:D58"/>
    <mergeCell ref="E58:G58"/>
    <mergeCell ref="H58:I58"/>
    <mergeCell ref="J58:N58"/>
    <mergeCell ref="A50:A51"/>
    <mergeCell ref="Q50:S50"/>
    <mergeCell ref="Q51:S51"/>
    <mergeCell ref="A52:A53"/>
    <mergeCell ref="Q52:S52"/>
    <mergeCell ref="Q53:S53"/>
    <mergeCell ref="A46:A47"/>
    <mergeCell ref="Q46:S46"/>
    <mergeCell ref="Q47:S47"/>
    <mergeCell ref="A48:A49"/>
    <mergeCell ref="Q48:S48"/>
    <mergeCell ref="Q49:S49"/>
    <mergeCell ref="Q38:S38"/>
    <mergeCell ref="Q39:S39"/>
    <mergeCell ref="Q40:S40"/>
    <mergeCell ref="Q41:S41"/>
    <mergeCell ref="A42:A45"/>
    <mergeCell ref="Q42:S42"/>
    <mergeCell ref="Q43:S43"/>
    <mergeCell ref="Q44:S44"/>
    <mergeCell ref="Q45:S45"/>
    <mergeCell ref="A33:A37"/>
    <mergeCell ref="Q33:S33"/>
    <mergeCell ref="Q34:S34"/>
    <mergeCell ref="Q35:S35"/>
    <mergeCell ref="Q36:S36"/>
    <mergeCell ref="Q37:S37"/>
    <mergeCell ref="Q32:S32"/>
    <mergeCell ref="G30:G31"/>
    <mergeCell ref="H30:H31"/>
    <mergeCell ref="I30:I31"/>
    <mergeCell ref="J30:J31"/>
    <mergeCell ref="K30:K31"/>
    <mergeCell ref="L30:L31"/>
    <mergeCell ref="M30:M31"/>
    <mergeCell ref="N30:N31"/>
    <mergeCell ref="O30:O31"/>
    <mergeCell ref="P30:P31"/>
    <mergeCell ref="Q30:S31"/>
    <mergeCell ref="F30:F31"/>
    <mergeCell ref="Q17:S17"/>
    <mergeCell ref="Q18:S18"/>
    <mergeCell ref="Q19:S19"/>
    <mergeCell ref="Q20:S20"/>
    <mergeCell ref="Q21:S21"/>
    <mergeCell ref="A22:S26"/>
    <mergeCell ref="A30:A31"/>
    <mergeCell ref="B30:B31"/>
    <mergeCell ref="C30:C31"/>
    <mergeCell ref="D30:D31"/>
    <mergeCell ref="E30:E31"/>
    <mergeCell ref="Q16:S16"/>
    <mergeCell ref="A5:D5"/>
    <mergeCell ref="E5:J5"/>
    <mergeCell ref="A7:D7"/>
    <mergeCell ref="E7:J7"/>
    <mergeCell ref="O7:S7"/>
    <mergeCell ref="A10:B10"/>
    <mergeCell ref="D10:G10"/>
    <mergeCell ref="I10:K10"/>
    <mergeCell ref="M10:N10"/>
    <mergeCell ref="A11:B11"/>
    <mergeCell ref="D11:G11"/>
    <mergeCell ref="I11:K11"/>
    <mergeCell ref="M11:N11"/>
    <mergeCell ref="A16:F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180975</xdr:colOff>
                    <xdr:row>8</xdr:row>
                    <xdr:rowOff>171450</xdr:rowOff>
                  </from>
                  <to>
                    <xdr:col>2</xdr:col>
                    <xdr:colOff>476250</xdr:colOff>
                    <xdr:row>10</xdr:row>
                    <xdr:rowOff>0</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171450</xdr:colOff>
                    <xdr:row>9</xdr:row>
                    <xdr:rowOff>171450</xdr:rowOff>
                  </from>
                  <to>
                    <xdr:col>2</xdr:col>
                    <xdr:colOff>466725</xdr:colOff>
                    <xdr:row>11</xdr:row>
                    <xdr:rowOff>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7</xdr:col>
                    <xdr:colOff>180975</xdr:colOff>
                    <xdr:row>9</xdr:row>
                    <xdr:rowOff>171450</xdr:rowOff>
                  </from>
                  <to>
                    <xdr:col>7</xdr:col>
                    <xdr:colOff>476250</xdr:colOff>
                    <xdr:row>11</xdr:row>
                    <xdr:rowOff>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7</xdr:col>
                    <xdr:colOff>180975</xdr:colOff>
                    <xdr:row>8</xdr:row>
                    <xdr:rowOff>180975</xdr:rowOff>
                  </from>
                  <to>
                    <xdr:col>7</xdr:col>
                    <xdr:colOff>476250</xdr:colOff>
                    <xdr:row>10</xdr:row>
                    <xdr:rowOff>9525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11</xdr:col>
                    <xdr:colOff>180975</xdr:colOff>
                    <xdr:row>8</xdr:row>
                    <xdr:rowOff>171450</xdr:rowOff>
                  </from>
                  <to>
                    <xdr:col>11</xdr:col>
                    <xdr:colOff>476250</xdr:colOff>
                    <xdr:row>10</xdr:row>
                    <xdr:rowOff>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11</xdr:col>
                    <xdr:colOff>180975</xdr:colOff>
                    <xdr:row>9</xdr:row>
                    <xdr:rowOff>180975</xdr:rowOff>
                  </from>
                  <to>
                    <xdr:col>11</xdr:col>
                    <xdr:colOff>476250</xdr:colOff>
                    <xdr:row>11</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686FD-72E1-4FB8-90F1-B91B3EB29605}">
  <sheetPr>
    <tabColor rgb="FFFF0000"/>
    <pageSetUpPr fitToPage="1"/>
  </sheetPr>
  <dimension ref="A1:M27"/>
  <sheetViews>
    <sheetView zoomScale="85" zoomScaleNormal="85" zoomScaleSheetLayoutView="70" workbookViewId="0">
      <selection activeCell="E20" sqref="E20"/>
    </sheetView>
  </sheetViews>
  <sheetFormatPr defaultColWidth="11.42578125" defaultRowHeight="12.75"/>
  <cols>
    <col min="2" max="2" width="24.28515625" customWidth="1"/>
    <col min="3" max="3" width="30.7109375" customWidth="1"/>
    <col min="4" max="4" width="6" customWidth="1"/>
    <col min="5" max="5" width="17.5703125" customWidth="1"/>
    <col min="6" max="6" width="14.140625" customWidth="1"/>
    <col min="7" max="7" width="9.140625" customWidth="1"/>
    <col min="8" max="8" width="17.85546875" customWidth="1"/>
    <col min="9" max="9" width="13.5703125" customWidth="1"/>
    <col min="10" max="10" width="12.42578125" style="229" customWidth="1"/>
    <col min="11" max="11" width="14.28515625" customWidth="1"/>
    <col min="12" max="12" width="23" style="229" customWidth="1"/>
    <col min="13" max="13" width="27.5703125" customWidth="1"/>
  </cols>
  <sheetData>
    <row r="1" spans="1:13" s="103" customFormat="1" ht="15" customHeight="1" thickBot="1">
      <c r="A1" s="1143"/>
      <c r="B1" s="1144"/>
      <c r="C1" s="1144"/>
      <c r="D1" s="1144"/>
      <c r="E1" s="1144"/>
      <c r="F1" s="1144"/>
      <c r="G1" s="1144"/>
      <c r="H1" s="1144"/>
      <c r="I1" s="1144"/>
      <c r="J1" s="1145"/>
      <c r="K1" s="1144"/>
      <c r="L1" s="1145"/>
      <c r="M1" s="1144"/>
    </row>
    <row r="2" spans="1:13" s="103" customFormat="1" ht="21" thickBot="1">
      <c r="A2" s="1079" t="s">
        <v>144</v>
      </c>
      <c r="B2" s="1080"/>
      <c r="C2" s="1080"/>
      <c r="D2" s="1080"/>
      <c r="E2" s="1080"/>
      <c r="F2" s="1080"/>
      <c r="G2" s="1080"/>
      <c r="H2" s="1080"/>
      <c r="I2" s="1080"/>
      <c r="J2" s="1080"/>
      <c r="K2" s="1080"/>
      <c r="L2" s="1080"/>
      <c r="M2" s="1080"/>
    </row>
    <row r="3" spans="1:13" s="103" customFormat="1">
      <c r="A3" s="1124" t="s">
        <v>145</v>
      </c>
      <c r="B3" s="1125"/>
      <c r="C3" s="1125"/>
      <c r="D3" s="1125"/>
      <c r="E3" s="1125"/>
      <c r="F3" s="1125"/>
      <c r="G3" s="1125"/>
      <c r="H3" s="1125"/>
      <c r="I3" s="1125"/>
      <c r="J3" s="1125"/>
      <c r="K3" s="1125"/>
      <c r="L3" s="1125"/>
      <c r="M3" s="1126"/>
    </row>
    <row r="4" spans="1:13" s="103" customFormat="1" ht="13.5" thickBot="1">
      <c r="A4" s="1127"/>
      <c r="B4" s="1128"/>
      <c r="C4" s="1128"/>
      <c r="D4" s="1128"/>
      <c r="E4" s="1128"/>
      <c r="F4" s="1128"/>
      <c r="G4" s="1128"/>
      <c r="H4" s="1128"/>
      <c r="I4" s="1128"/>
      <c r="J4" s="1128"/>
      <c r="K4" s="1128"/>
      <c r="L4" s="1128"/>
      <c r="M4" s="1129"/>
    </row>
    <row r="5" spans="1:13" ht="20.25" customHeight="1" thickBot="1">
      <c r="A5" s="765" t="s">
        <v>146</v>
      </c>
      <c r="B5" s="766"/>
      <c r="C5" s="766"/>
      <c r="D5" s="766"/>
      <c r="E5" s="766"/>
      <c r="F5" s="766"/>
      <c r="G5" s="766"/>
      <c r="H5" s="766"/>
      <c r="I5" s="766"/>
      <c r="J5" s="766"/>
      <c r="K5" s="766"/>
      <c r="L5" s="766"/>
      <c r="M5" s="767"/>
    </row>
    <row r="6" spans="1:13" ht="15.75">
      <c r="A6" s="1130" t="s">
        <v>147</v>
      </c>
      <c r="B6" s="1131"/>
      <c r="C6" s="223"/>
      <c r="D6" s="1136" t="s">
        <v>148</v>
      </c>
      <c r="E6" s="1136"/>
      <c r="F6" s="1136"/>
      <c r="G6" s="768"/>
      <c r="H6" s="769"/>
      <c r="I6" s="769"/>
      <c r="J6" s="1139" t="s">
        <v>9</v>
      </c>
      <c r="K6" s="1139"/>
      <c r="L6" s="1139" t="s">
        <v>149</v>
      </c>
      <c r="M6" s="1140"/>
    </row>
    <row r="7" spans="1:13" ht="15.75">
      <c r="A7" s="1132" t="s">
        <v>150</v>
      </c>
      <c r="B7" s="1133"/>
      <c r="C7" s="224"/>
      <c r="D7" s="1137" t="s">
        <v>8</v>
      </c>
      <c r="E7" s="1137"/>
      <c r="F7" s="1137"/>
      <c r="G7" s="770"/>
      <c r="H7" s="764"/>
      <c r="I7" s="764"/>
      <c r="J7" s="771"/>
      <c r="K7" s="772"/>
      <c r="L7" s="771"/>
      <c r="M7" s="773"/>
    </row>
    <row r="8" spans="1:13" ht="15.75">
      <c r="A8" s="1132" t="s">
        <v>151</v>
      </c>
      <c r="B8" s="1133"/>
      <c r="C8" s="225"/>
      <c r="D8" s="1137" t="s">
        <v>152</v>
      </c>
      <c r="E8" s="1137"/>
      <c r="F8" s="1137"/>
      <c r="G8" s="764"/>
      <c r="H8" s="764"/>
      <c r="I8" s="764"/>
      <c r="J8" s="1142"/>
      <c r="K8" s="1142"/>
      <c r="L8" s="1142"/>
      <c r="M8" s="226"/>
    </row>
    <row r="9" spans="1:13" ht="16.5" thickBot="1">
      <c r="A9" s="1134" t="s">
        <v>153</v>
      </c>
      <c r="B9" s="1135"/>
      <c r="C9" s="227"/>
      <c r="D9" s="1138" t="s">
        <v>154</v>
      </c>
      <c r="E9" s="1138"/>
      <c r="F9" s="1138"/>
      <c r="G9" s="774"/>
      <c r="H9" s="774"/>
      <c r="I9" s="774"/>
      <c r="J9" s="1141" t="s">
        <v>155</v>
      </c>
      <c r="K9" s="1141"/>
      <c r="L9" s="1141"/>
      <c r="M9" s="228"/>
    </row>
    <row r="10" spans="1:13" ht="13.5" thickBot="1"/>
    <row r="11" spans="1:13">
      <c r="A11" s="775" t="s">
        <v>11</v>
      </c>
      <c r="B11" s="778" t="s">
        <v>156</v>
      </c>
      <c r="C11" s="778" t="s">
        <v>157</v>
      </c>
      <c r="D11" s="781" t="s">
        <v>71</v>
      </c>
      <c r="E11" s="781"/>
      <c r="F11" s="781"/>
      <c r="G11" s="782" t="s">
        <v>158</v>
      </c>
      <c r="H11" s="781" t="s">
        <v>159</v>
      </c>
      <c r="I11" s="781"/>
      <c r="J11" s="781"/>
      <c r="K11" s="781"/>
      <c r="L11" s="781"/>
      <c r="M11" s="785" t="s">
        <v>160</v>
      </c>
    </row>
    <row r="12" spans="1:13">
      <c r="A12" s="776"/>
      <c r="B12" s="779"/>
      <c r="C12" s="779"/>
      <c r="D12" s="772" t="s">
        <v>161</v>
      </c>
      <c r="E12" s="772" t="s">
        <v>162</v>
      </c>
      <c r="F12" s="772" t="s">
        <v>163</v>
      </c>
      <c r="G12" s="783"/>
      <c r="H12" s="779" t="s">
        <v>164</v>
      </c>
      <c r="I12" s="779" t="s">
        <v>165</v>
      </c>
      <c r="J12" s="779" t="s">
        <v>166</v>
      </c>
      <c r="K12" s="779"/>
      <c r="L12" s="772" t="s">
        <v>167</v>
      </c>
      <c r="M12" s="773"/>
    </row>
    <row r="13" spans="1:13" ht="26.25" customHeight="1" thickBot="1">
      <c r="A13" s="777"/>
      <c r="B13" s="780"/>
      <c r="C13" s="780"/>
      <c r="D13" s="787"/>
      <c r="E13" s="787"/>
      <c r="F13" s="787"/>
      <c r="G13" s="784"/>
      <c r="H13" s="780"/>
      <c r="I13" s="780"/>
      <c r="J13" s="230" t="s">
        <v>168</v>
      </c>
      <c r="K13" s="230" t="s">
        <v>169</v>
      </c>
      <c r="L13" s="787"/>
      <c r="M13" s="786"/>
    </row>
    <row r="14" spans="1:13">
      <c r="A14" s="232"/>
      <c r="B14" s="231"/>
      <c r="C14" s="231"/>
      <c r="D14" s="231"/>
      <c r="E14" s="231"/>
      <c r="F14" s="231"/>
      <c r="G14" s="231"/>
      <c r="H14" s="231"/>
      <c r="I14" s="231"/>
      <c r="J14" s="63"/>
      <c r="K14" s="231"/>
      <c r="L14" s="63"/>
      <c r="M14" s="233"/>
    </row>
    <row r="15" spans="1:13">
      <c r="A15" s="232"/>
      <c r="B15" s="231"/>
      <c r="C15" s="231"/>
      <c r="D15" s="231"/>
      <c r="E15" s="231"/>
      <c r="F15" s="231"/>
      <c r="G15" s="231"/>
      <c r="H15" s="231"/>
      <c r="I15" s="231"/>
      <c r="J15" s="63"/>
      <c r="K15" s="231"/>
      <c r="L15" s="63"/>
      <c r="M15" s="233"/>
    </row>
    <row r="16" spans="1:13">
      <c r="A16" s="232"/>
      <c r="B16" s="231"/>
      <c r="C16" s="231"/>
      <c r="D16" s="231"/>
      <c r="E16" s="231"/>
      <c r="F16" s="231"/>
      <c r="G16" s="231"/>
      <c r="H16" s="231"/>
      <c r="I16" s="231"/>
      <c r="J16" s="63"/>
      <c r="K16" s="231"/>
      <c r="L16" s="63"/>
      <c r="M16" s="233"/>
    </row>
    <row r="17" spans="1:13">
      <c r="A17" s="232"/>
      <c r="B17" s="231"/>
      <c r="C17" s="231"/>
      <c r="D17" s="231"/>
      <c r="E17" s="231"/>
      <c r="F17" s="231"/>
      <c r="G17" s="231"/>
      <c r="H17" s="231"/>
      <c r="I17" s="231"/>
      <c r="J17" s="63"/>
      <c r="K17" s="231"/>
      <c r="L17" s="63"/>
      <c r="M17" s="233"/>
    </row>
    <row r="18" spans="1:13">
      <c r="A18" s="232"/>
      <c r="B18" s="231"/>
      <c r="C18" s="231"/>
      <c r="D18" s="231"/>
      <c r="E18" s="231"/>
      <c r="F18" s="231"/>
      <c r="G18" s="231"/>
      <c r="H18" s="231"/>
      <c r="I18" s="231"/>
      <c r="J18" s="63"/>
      <c r="K18" s="231"/>
      <c r="L18" s="63"/>
      <c r="M18" s="233"/>
    </row>
    <row r="19" spans="1:13">
      <c r="A19" s="232"/>
      <c r="B19" s="231"/>
      <c r="C19" s="231"/>
      <c r="D19" s="231"/>
      <c r="E19" s="231"/>
      <c r="F19" s="231"/>
      <c r="G19" s="231"/>
      <c r="H19" s="231"/>
      <c r="I19" s="231"/>
      <c r="J19" s="63"/>
      <c r="K19" s="231"/>
      <c r="L19" s="63"/>
      <c r="M19" s="233"/>
    </row>
    <row r="20" spans="1:13">
      <c r="A20" s="232"/>
      <c r="B20" s="231"/>
      <c r="C20" s="231"/>
      <c r="D20" s="231"/>
      <c r="E20" s="231"/>
      <c r="F20" s="231"/>
      <c r="G20" s="231"/>
      <c r="H20" s="231"/>
      <c r="I20" s="231"/>
      <c r="J20" s="63"/>
      <c r="K20" s="231"/>
      <c r="L20" s="63"/>
      <c r="M20" s="233"/>
    </row>
    <row r="21" spans="1:13">
      <c r="A21" s="232"/>
      <c r="B21" s="231"/>
      <c r="C21" s="231"/>
      <c r="D21" s="231"/>
      <c r="E21" s="231"/>
      <c r="F21" s="231"/>
      <c r="G21" s="231"/>
      <c r="H21" s="231"/>
      <c r="I21" s="231"/>
      <c r="J21" s="63"/>
      <c r="K21" s="231"/>
      <c r="L21" s="63"/>
      <c r="M21" s="233"/>
    </row>
    <row r="22" spans="1:13">
      <c r="A22" s="232"/>
      <c r="B22" s="231"/>
      <c r="C22" s="231"/>
      <c r="D22" s="231"/>
      <c r="E22" s="231"/>
      <c r="F22" s="231"/>
      <c r="G22" s="231"/>
      <c r="H22" s="231"/>
      <c r="I22" s="231"/>
      <c r="J22" s="63"/>
      <c r="K22" s="231"/>
      <c r="L22" s="63"/>
      <c r="M22" s="233"/>
    </row>
    <row r="23" spans="1:13">
      <c r="A23" s="232"/>
      <c r="B23" s="231"/>
      <c r="C23" s="231"/>
      <c r="D23" s="231"/>
      <c r="E23" s="231"/>
      <c r="F23" s="231"/>
      <c r="G23" s="231"/>
      <c r="H23" s="231"/>
      <c r="I23" s="231"/>
      <c r="J23" s="63"/>
      <c r="K23" s="231"/>
      <c r="L23" s="63"/>
      <c r="M23" s="233"/>
    </row>
    <row r="24" spans="1:13">
      <c r="A24" s="232"/>
      <c r="B24" s="231"/>
      <c r="C24" s="231"/>
      <c r="D24" s="231"/>
      <c r="E24" s="231"/>
      <c r="F24" s="231"/>
      <c r="G24" s="231"/>
      <c r="H24" s="231"/>
      <c r="I24" s="231"/>
      <c r="J24" s="63"/>
      <c r="K24" s="231"/>
      <c r="L24" s="63"/>
      <c r="M24" s="233"/>
    </row>
    <row r="25" spans="1:13">
      <c r="A25" s="232"/>
      <c r="B25" s="231"/>
      <c r="C25" s="231"/>
      <c r="D25" s="231"/>
      <c r="E25" s="231"/>
      <c r="F25" s="231"/>
      <c r="G25" s="231"/>
      <c r="H25" s="231"/>
      <c r="I25" s="231"/>
      <c r="J25" s="63"/>
      <c r="K25" s="231"/>
      <c r="L25" s="63"/>
      <c r="M25" s="233"/>
    </row>
    <row r="26" spans="1:13" ht="18" customHeight="1">
      <c r="A26" s="232"/>
      <c r="B26" s="231"/>
      <c r="C26" s="231"/>
      <c r="D26" s="231"/>
      <c r="E26" s="231"/>
      <c r="F26" s="231"/>
      <c r="G26" s="231"/>
      <c r="H26" s="231"/>
      <c r="I26" s="231"/>
      <c r="J26" s="63"/>
      <c r="K26" s="231"/>
      <c r="L26" s="63"/>
      <c r="M26" s="233"/>
    </row>
    <row r="27" spans="1:13" ht="69" customHeight="1" thickBot="1">
      <c r="A27" s="234"/>
      <c r="B27" s="235"/>
      <c r="C27" s="235"/>
      <c r="D27" s="235"/>
      <c r="E27" s="235"/>
      <c r="F27" s="235"/>
      <c r="G27" s="235"/>
      <c r="H27" s="235"/>
      <c r="I27" s="235"/>
      <c r="J27" s="236"/>
      <c r="K27" s="235"/>
      <c r="L27" s="236"/>
      <c r="M27" s="237"/>
    </row>
  </sheetData>
  <mergeCells count="35">
    <mergeCell ref="H11:L11"/>
    <mergeCell ref="M11:M13"/>
    <mergeCell ref="D12:D13"/>
    <mergeCell ref="E12:E13"/>
    <mergeCell ref="F12:F13"/>
    <mergeCell ref="H12:H13"/>
    <mergeCell ref="I12:I13"/>
    <mergeCell ref="J12:K12"/>
    <mergeCell ref="L12:L13"/>
    <mergeCell ref="A11:A13"/>
    <mergeCell ref="B11:B13"/>
    <mergeCell ref="C11:C13"/>
    <mergeCell ref="D11:F11"/>
    <mergeCell ref="G11:G13"/>
    <mergeCell ref="L7:M7"/>
    <mergeCell ref="A9:B9"/>
    <mergeCell ref="D9:F9"/>
    <mergeCell ref="G9:I9"/>
    <mergeCell ref="J9:L9"/>
    <mergeCell ref="A8:B8"/>
    <mergeCell ref="D8:F8"/>
    <mergeCell ref="G8:I8"/>
    <mergeCell ref="J8:L8"/>
    <mergeCell ref="A2:M2"/>
    <mergeCell ref="A3:M4"/>
    <mergeCell ref="A5:M5"/>
    <mergeCell ref="A6:B6"/>
    <mergeCell ref="D6:F6"/>
    <mergeCell ref="G6:I6"/>
    <mergeCell ref="J6:K6"/>
    <mergeCell ref="L6:M6"/>
    <mergeCell ref="A7:B7"/>
    <mergeCell ref="D7:F7"/>
    <mergeCell ref="G7:I7"/>
    <mergeCell ref="J7:K7"/>
  </mergeCells>
  <pageMargins left="0.25" right="0.25" top="0.75" bottom="0.75" header="0.3" footer="0.3"/>
  <pageSetup paperSize="9" scale="65" fitToHeight="0" orientation="landscape" r:id="rId1"/>
  <headerFooter alignWithMargins="0">
    <oddFooter>&amp;L&amp;F &amp;A&amp;C&amp;P / &amp;N&amp;RSQA, &amp;D &amp;T</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9E7E6-B6BD-4B70-BAF6-E56E666D2103}">
  <sheetPr>
    <tabColor rgb="FFFFFF00"/>
    <pageSetUpPr fitToPage="1"/>
  </sheetPr>
  <dimension ref="A1:BT82"/>
  <sheetViews>
    <sheetView topLeftCell="A16" zoomScale="85" zoomScaleNormal="85" workbookViewId="0">
      <selection activeCell="R28" sqref="R28:T28"/>
    </sheetView>
  </sheetViews>
  <sheetFormatPr defaultColWidth="6.85546875" defaultRowHeight="12.75" outlineLevelRow="1" outlineLevelCol="1"/>
  <cols>
    <col min="1" max="1" width="1.85546875" style="243" customWidth="1"/>
    <col min="2" max="2" width="3.85546875" style="243" customWidth="1"/>
    <col min="3" max="3" width="3.5703125" style="243" customWidth="1"/>
    <col min="4" max="4" width="4.5703125" style="243" customWidth="1"/>
    <col min="5" max="5" width="2.7109375" style="244" customWidth="1"/>
    <col min="6" max="6" width="3.85546875" style="244" customWidth="1"/>
    <col min="7" max="7" width="2.85546875" style="245" customWidth="1"/>
    <col min="8" max="8" width="4.28515625" style="245" customWidth="1"/>
    <col min="9" max="9" width="2.7109375" style="245" customWidth="1"/>
    <col min="10" max="10" width="18" style="245" customWidth="1"/>
    <col min="11" max="11" width="5.7109375" style="245" customWidth="1"/>
    <col min="12" max="12" width="7.42578125" style="245" customWidth="1"/>
    <col min="13" max="13" width="2.5703125" style="245" customWidth="1"/>
    <col min="14" max="14" width="8.5703125" style="245" customWidth="1"/>
    <col min="15" max="15" width="11" style="244" customWidth="1"/>
    <col min="16" max="16" width="11.7109375" style="244" customWidth="1"/>
    <col min="17" max="17" width="16.140625" style="244" customWidth="1"/>
    <col min="18" max="18" width="10.42578125" style="244" customWidth="1"/>
    <col min="19" max="19" width="11.42578125" style="244" customWidth="1"/>
    <col min="20" max="20" width="18.140625" style="244" customWidth="1"/>
    <col min="21" max="29" width="1.28515625" style="244" customWidth="1" outlineLevel="1"/>
    <col min="30" max="72" width="1.85546875" style="244" customWidth="1" outlineLevel="1"/>
    <col min="73" max="251" width="7.28515625" style="244" customWidth="1"/>
    <col min="252" max="256" width="6.85546875" style="244"/>
    <col min="257" max="257" width="1.85546875" style="244" customWidth="1"/>
    <col min="258" max="258" width="3.85546875" style="244" customWidth="1"/>
    <col min="259" max="259" width="3.5703125" style="244" customWidth="1"/>
    <col min="260" max="260" width="4.5703125" style="244" customWidth="1"/>
    <col min="261" max="261" width="2.7109375" style="244" customWidth="1"/>
    <col min="262" max="262" width="3.85546875" style="244" customWidth="1"/>
    <col min="263" max="263" width="2.85546875" style="244" customWidth="1"/>
    <col min="264" max="264" width="4.28515625" style="244" customWidth="1"/>
    <col min="265" max="265" width="2.7109375" style="244" customWidth="1"/>
    <col min="266" max="266" width="18" style="244" customWidth="1"/>
    <col min="267" max="267" width="5.7109375" style="244" customWidth="1"/>
    <col min="268" max="268" width="7.42578125" style="244" customWidth="1"/>
    <col min="269" max="269" width="2.5703125" style="244" customWidth="1"/>
    <col min="270" max="270" width="8.5703125" style="244" customWidth="1"/>
    <col min="271" max="271" width="11" style="244" customWidth="1"/>
    <col min="272" max="272" width="11.7109375" style="244" customWidth="1"/>
    <col min="273" max="273" width="16.140625" style="244" customWidth="1"/>
    <col min="274" max="274" width="10.42578125" style="244" customWidth="1"/>
    <col min="275" max="275" width="11.42578125" style="244" customWidth="1"/>
    <col min="276" max="276" width="18.140625" style="244" customWidth="1"/>
    <col min="277" max="285" width="1.28515625" style="244" customWidth="1"/>
    <col min="286" max="328" width="1.85546875" style="244" customWidth="1"/>
    <col min="329" max="507" width="7.28515625" style="244" customWidth="1"/>
    <col min="508" max="512" width="6.85546875" style="244"/>
    <col min="513" max="513" width="1.85546875" style="244" customWidth="1"/>
    <col min="514" max="514" width="3.85546875" style="244" customWidth="1"/>
    <col min="515" max="515" width="3.5703125" style="244" customWidth="1"/>
    <col min="516" max="516" width="4.5703125" style="244" customWidth="1"/>
    <col min="517" max="517" width="2.7109375" style="244" customWidth="1"/>
    <col min="518" max="518" width="3.85546875" style="244" customWidth="1"/>
    <col min="519" max="519" width="2.85546875" style="244" customWidth="1"/>
    <col min="520" max="520" width="4.28515625" style="244" customWidth="1"/>
    <col min="521" max="521" width="2.7109375" style="244" customWidth="1"/>
    <col min="522" max="522" width="18" style="244" customWidth="1"/>
    <col min="523" max="523" width="5.7109375" style="244" customWidth="1"/>
    <col min="524" max="524" width="7.42578125" style="244" customWidth="1"/>
    <col min="525" max="525" width="2.5703125" style="244" customWidth="1"/>
    <col min="526" max="526" width="8.5703125" style="244" customWidth="1"/>
    <col min="527" max="527" width="11" style="244" customWidth="1"/>
    <col min="528" max="528" width="11.7109375" style="244" customWidth="1"/>
    <col min="529" max="529" width="16.140625" style="244" customWidth="1"/>
    <col min="530" max="530" width="10.42578125" style="244" customWidth="1"/>
    <col min="531" max="531" width="11.42578125" style="244" customWidth="1"/>
    <col min="532" max="532" width="18.140625" style="244" customWidth="1"/>
    <col min="533" max="541" width="1.28515625" style="244" customWidth="1"/>
    <col min="542" max="584" width="1.85546875" style="244" customWidth="1"/>
    <col min="585" max="763" width="7.28515625" style="244" customWidth="1"/>
    <col min="764" max="768" width="6.85546875" style="244"/>
    <col min="769" max="769" width="1.85546875" style="244" customWidth="1"/>
    <col min="770" max="770" width="3.85546875" style="244" customWidth="1"/>
    <col min="771" max="771" width="3.5703125" style="244" customWidth="1"/>
    <col min="772" max="772" width="4.5703125" style="244" customWidth="1"/>
    <col min="773" max="773" width="2.7109375" style="244" customWidth="1"/>
    <col min="774" max="774" width="3.85546875" style="244" customWidth="1"/>
    <col min="775" max="775" width="2.85546875" style="244" customWidth="1"/>
    <col min="776" max="776" width="4.28515625" style="244" customWidth="1"/>
    <col min="777" max="777" width="2.7109375" style="244" customWidth="1"/>
    <col min="778" max="778" width="18" style="244" customWidth="1"/>
    <col min="779" max="779" width="5.7109375" style="244" customWidth="1"/>
    <col min="780" max="780" width="7.42578125" style="244" customWidth="1"/>
    <col min="781" max="781" width="2.5703125" style="244" customWidth="1"/>
    <col min="782" max="782" width="8.5703125" style="244" customWidth="1"/>
    <col min="783" max="783" width="11" style="244" customWidth="1"/>
    <col min="784" max="784" width="11.7109375" style="244" customWidth="1"/>
    <col min="785" max="785" width="16.140625" style="244" customWidth="1"/>
    <col min="786" max="786" width="10.42578125" style="244" customWidth="1"/>
    <col min="787" max="787" width="11.42578125" style="244" customWidth="1"/>
    <col min="788" max="788" width="18.140625" style="244" customWidth="1"/>
    <col min="789" max="797" width="1.28515625" style="244" customWidth="1"/>
    <col min="798" max="840" width="1.85546875" style="244" customWidth="1"/>
    <col min="841" max="1019" width="7.28515625" style="244" customWidth="1"/>
    <col min="1020" max="1024" width="6.85546875" style="244"/>
    <col min="1025" max="1025" width="1.85546875" style="244" customWidth="1"/>
    <col min="1026" max="1026" width="3.85546875" style="244" customWidth="1"/>
    <col min="1027" max="1027" width="3.5703125" style="244" customWidth="1"/>
    <col min="1028" max="1028" width="4.5703125" style="244" customWidth="1"/>
    <col min="1029" max="1029" width="2.7109375" style="244" customWidth="1"/>
    <col min="1030" max="1030" width="3.85546875" style="244" customWidth="1"/>
    <col min="1031" max="1031" width="2.85546875" style="244" customWidth="1"/>
    <col min="1032" max="1032" width="4.28515625" style="244" customWidth="1"/>
    <col min="1033" max="1033" width="2.7109375" style="244" customWidth="1"/>
    <col min="1034" max="1034" width="18" style="244" customWidth="1"/>
    <col min="1035" max="1035" width="5.7109375" style="244" customWidth="1"/>
    <col min="1036" max="1036" width="7.42578125" style="244" customWidth="1"/>
    <col min="1037" max="1037" width="2.5703125" style="244" customWidth="1"/>
    <col min="1038" max="1038" width="8.5703125" style="244" customWidth="1"/>
    <col min="1039" max="1039" width="11" style="244" customWidth="1"/>
    <col min="1040" max="1040" width="11.7109375" style="244" customWidth="1"/>
    <col min="1041" max="1041" width="16.140625" style="244" customWidth="1"/>
    <col min="1042" max="1042" width="10.42578125" style="244" customWidth="1"/>
    <col min="1043" max="1043" width="11.42578125" style="244" customWidth="1"/>
    <col min="1044" max="1044" width="18.140625" style="244" customWidth="1"/>
    <col min="1045" max="1053" width="1.28515625" style="244" customWidth="1"/>
    <col min="1054" max="1096" width="1.85546875" style="244" customWidth="1"/>
    <col min="1097" max="1275" width="7.28515625" style="244" customWidth="1"/>
    <col min="1276" max="1280" width="6.85546875" style="244"/>
    <col min="1281" max="1281" width="1.85546875" style="244" customWidth="1"/>
    <col min="1282" max="1282" width="3.85546875" style="244" customWidth="1"/>
    <col min="1283" max="1283" width="3.5703125" style="244" customWidth="1"/>
    <col min="1284" max="1284" width="4.5703125" style="244" customWidth="1"/>
    <col min="1285" max="1285" width="2.7109375" style="244" customWidth="1"/>
    <col min="1286" max="1286" width="3.85546875" style="244" customWidth="1"/>
    <col min="1287" max="1287" width="2.85546875" style="244" customWidth="1"/>
    <col min="1288" max="1288" width="4.28515625" style="244" customWidth="1"/>
    <col min="1289" max="1289" width="2.7109375" style="244" customWidth="1"/>
    <col min="1290" max="1290" width="18" style="244" customWidth="1"/>
    <col min="1291" max="1291" width="5.7109375" style="244" customWidth="1"/>
    <col min="1292" max="1292" width="7.42578125" style="244" customWidth="1"/>
    <col min="1293" max="1293" width="2.5703125" style="244" customWidth="1"/>
    <col min="1294" max="1294" width="8.5703125" style="244" customWidth="1"/>
    <col min="1295" max="1295" width="11" style="244" customWidth="1"/>
    <col min="1296" max="1296" width="11.7109375" style="244" customWidth="1"/>
    <col min="1297" max="1297" width="16.140625" style="244" customWidth="1"/>
    <col min="1298" max="1298" width="10.42578125" style="244" customWidth="1"/>
    <col min="1299" max="1299" width="11.42578125" style="244" customWidth="1"/>
    <col min="1300" max="1300" width="18.140625" style="244" customWidth="1"/>
    <col min="1301" max="1309" width="1.28515625" style="244" customWidth="1"/>
    <col min="1310" max="1352" width="1.85546875" style="244" customWidth="1"/>
    <col min="1353" max="1531" width="7.28515625" style="244" customWidth="1"/>
    <col min="1532" max="1536" width="6.85546875" style="244"/>
    <col min="1537" max="1537" width="1.85546875" style="244" customWidth="1"/>
    <col min="1538" max="1538" width="3.85546875" style="244" customWidth="1"/>
    <col min="1539" max="1539" width="3.5703125" style="244" customWidth="1"/>
    <col min="1540" max="1540" width="4.5703125" style="244" customWidth="1"/>
    <col min="1541" max="1541" width="2.7109375" style="244" customWidth="1"/>
    <col min="1542" max="1542" width="3.85546875" style="244" customWidth="1"/>
    <col min="1543" max="1543" width="2.85546875" style="244" customWidth="1"/>
    <col min="1544" max="1544" width="4.28515625" style="244" customWidth="1"/>
    <col min="1545" max="1545" width="2.7109375" style="244" customWidth="1"/>
    <col min="1546" max="1546" width="18" style="244" customWidth="1"/>
    <col min="1547" max="1547" width="5.7109375" style="244" customWidth="1"/>
    <col min="1548" max="1548" width="7.42578125" style="244" customWidth="1"/>
    <col min="1549" max="1549" width="2.5703125" style="244" customWidth="1"/>
    <col min="1550" max="1550" width="8.5703125" style="244" customWidth="1"/>
    <col min="1551" max="1551" width="11" style="244" customWidth="1"/>
    <col min="1552" max="1552" width="11.7109375" style="244" customWidth="1"/>
    <col min="1553" max="1553" width="16.140625" style="244" customWidth="1"/>
    <col min="1554" max="1554" width="10.42578125" style="244" customWidth="1"/>
    <col min="1555" max="1555" width="11.42578125" style="244" customWidth="1"/>
    <col min="1556" max="1556" width="18.140625" style="244" customWidth="1"/>
    <col min="1557" max="1565" width="1.28515625" style="244" customWidth="1"/>
    <col min="1566" max="1608" width="1.85546875" style="244" customWidth="1"/>
    <col min="1609" max="1787" width="7.28515625" style="244" customWidth="1"/>
    <col min="1788" max="1792" width="6.85546875" style="244"/>
    <col min="1793" max="1793" width="1.85546875" style="244" customWidth="1"/>
    <col min="1794" max="1794" width="3.85546875" style="244" customWidth="1"/>
    <col min="1795" max="1795" width="3.5703125" style="244" customWidth="1"/>
    <col min="1796" max="1796" width="4.5703125" style="244" customWidth="1"/>
    <col min="1797" max="1797" width="2.7109375" style="244" customWidth="1"/>
    <col min="1798" max="1798" width="3.85546875" style="244" customWidth="1"/>
    <col min="1799" max="1799" width="2.85546875" style="244" customWidth="1"/>
    <col min="1800" max="1800" width="4.28515625" style="244" customWidth="1"/>
    <col min="1801" max="1801" width="2.7109375" style="244" customWidth="1"/>
    <col min="1802" max="1802" width="18" style="244" customWidth="1"/>
    <col min="1803" max="1803" width="5.7109375" style="244" customWidth="1"/>
    <col min="1804" max="1804" width="7.42578125" style="244" customWidth="1"/>
    <col min="1805" max="1805" width="2.5703125" style="244" customWidth="1"/>
    <col min="1806" max="1806" width="8.5703125" style="244" customWidth="1"/>
    <col min="1807" max="1807" width="11" style="244" customWidth="1"/>
    <col min="1808" max="1808" width="11.7109375" style="244" customWidth="1"/>
    <col min="1809" max="1809" width="16.140625" style="244" customWidth="1"/>
    <col min="1810" max="1810" width="10.42578125" style="244" customWidth="1"/>
    <col min="1811" max="1811" width="11.42578125" style="244" customWidth="1"/>
    <col min="1812" max="1812" width="18.140625" style="244" customWidth="1"/>
    <col min="1813" max="1821" width="1.28515625" style="244" customWidth="1"/>
    <col min="1822" max="1864" width="1.85546875" style="244" customWidth="1"/>
    <col min="1865" max="2043" width="7.28515625" style="244" customWidth="1"/>
    <col min="2044" max="2048" width="6.85546875" style="244"/>
    <col min="2049" max="2049" width="1.85546875" style="244" customWidth="1"/>
    <col min="2050" max="2050" width="3.85546875" style="244" customWidth="1"/>
    <col min="2051" max="2051" width="3.5703125" style="244" customWidth="1"/>
    <col min="2052" max="2052" width="4.5703125" style="244" customWidth="1"/>
    <col min="2053" max="2053" width="2.7109375" style="244" customWidth="1"/>
    <col min="2054" max="2054" width="3.85546875" style="244" customWidth="1"/>
    <col min="2055" max="2055" width="2.85546875" style="244" customWidth="1"/>
    <col min="2056" max="2056" width="4.28515625" style="244" customWidth="1"/>
    <col min="2057" max="2057" width="2.7109375" style="244" customWidth="1"/>
    <col min="2058" max="2058" width="18" style="244" customWidth="1"/>
    <col min="2059" max="2059" width="5.7109375" style="244" customWidth="1"/>
    <col min="2060" max="2060" width="7.42578125" style="244" customWidth="1"/>
    <col min="2061" max="2061" width="2.5703125" style="244" customWidth="1"/>
    <col min="2062" max="2062" width="8.5703125" style="244" customWidth="1"/>
    <col min="2063" max="2063" width="11" style="244" customWidth="1"/>
    <col min="2064" max="2064" width="11.7109375" style="244" customWidth="1"/>
    <col min="2065" max="2065" width="16.140625" style="244" customWidth="1"/>
    <col min="2066" max="2066" width="10.42578125" style="244" customWidth="1"/>
    <col min="2067" max="2067" width="11.42578125" style="244" customWidth="1"/>
    <col min="2068" max="2068" width="18.140625" style="244" customWidth="1"/>
    <col min="2069" max="2077" width="1.28515625" style="244" customWidth="1"/>
    <col min="2078" max="2120" width="1.85546875" style="244" customWidth="1"/>
    <col min="2121" max="2299" width="7.28515625" style="244" customWidth="1"/>
    <col min="2300" max="2304" width="6.85546875" style="244"/>
    <col min="2305" max="2305" width="1.85546875" style="244" customWidth="1"/>
    <col min="2306" max="2306" width="3.85546875" style="244" customWidth="1"/>
    <col min="2307" max="2307" width="3.5703125" style="244" customWidth="1"/>
    <col min="2308" max="2308" width="4.5703125" style="244" customWidth="1"/>
    <col min="2309" max="2309" width="2.7109375" style="244" customWidth="1"/>
    <col min="2310" max="2310" width="3.85546875" style="244" customWidth="1"/>
    <col min="2311" max="2311" width="2.85546875" style="244" customWidth="1"/>
    <col min="2312" max="2312" width="4.28515625" style="244" customWidth="1"/>
    <col min="2313" max="2313" width="2.7109375" style="244" customWidth="1"/>
    <col min="2314" max="2314" width="18" style="244" customWidth="1"/>
    <col min="2315" max="2315" width="5.7109375" style="244" customWidth="1"/>
    <col min="2316" max="2316" width="7.42578125" style="244" customWidth="1"/>
    <col min="2317" max="2317" width="2.5703125" style="244" customWidth="1"/>
    <col min="2318" max="2318" width="8.5703125" style="244" customWidth="1"/>
    <col min="2319" max="2319" width="11" style="244" customWidth="1"/>
    <col min="2320" max="2320" width="11.7109375" style="244" customWidth="1"/>
    <col min="2321" max="2321" width="16.140625" style="244" customWidth="1"/>
    <col min="2322" max="2322" width="10.42578125" style="244" customWidth="1"/>
    <col min="2323" max="2323" width="11.42578125" style="244" customWidth="1"/>
    <col min="2324" max="2324" width="18.140625" style="244" customWidth="1"/>
    <col min="2325" max="2333" width="1.28515625" style="244" customWidth="1"/>
    <col min="2334" max="2376" width="1.85546875" style="244" customWidth="1"/>
    <col min="2377" max="2555" width="7.28515625" style="244" customWidth="1"/>
    <col min="2556" max="2560" width="6.85546875" style="244"/>
    <col min="2561" max="2561" width="1.85546875" style="244" customWidth="1"/>
    <col min="2562" max="2562" width="3.85546875" style="244" customWidth="1"/>
    <col min="2563" max="2563" width="3.5703125" style="244" customWidth="1"/>
    <col min="2564" max="2564" width="4.5703125" style="244" customWidth="1"/>
    <col min="2565" max="2565" width="2.7109375" style="244" customWidth="1"/>
    <col min="2566" max="2566" width="3.85546875" style="244" customWidth="1"/>
    <col min="2567" max="2567" width="2.85546875" style="244" customWidth="1"/>
    <col min="2568" max="2568" width="4.28515625" style="244" customWidth="1"/>
    <col min="2569" max="2569" width="2.7109375" style="244" customWidth="1"/>
    <col min="2570" max="2570" width="18" style="244" customWidth="1"/>
    <col min="2571" max="2571" width="5.7109375" style="244" customWidth="1"/>
    <col min="2572" max="2572" width="7.42578125" style="244" customWidth="1"/>
    <col min="2573" max="2573" width="2.5703125" style="244" customWidth="1"/>
    <col min="2574" max="2574" width="8.5703125" style="244" customWidth="1"/>
    <col min="2575" max="2575" width="11" style="244" customWidth="1"/>
    <col min="2576" max="2576" width="11.7109375" style="244" customWidth="1"/>
    <col min="2577" max="2577" width="16.140625" style="244" customWidth="1"/>
    <col min="2578" max="2578" width="10.42578125" style="244" customWidth="1"/>
    <col min="2579" max="2579" width="11.42578125" style="244" customWidth="1"/>
    <col min="2580" max="2580" width="18.140625" style="244" customWidth="1"/>
    <col min="2581" max="2589" width="1.28515625" style="244" customWidth="1"/>
    <col min="2590" max="2632" width="1.85546875" style="244" customWidth="1"/>
    <col min="2633" max="2811" width="7.28515625" style="244" customWidth="1"/>
    <col min="2812" max="2816" width="6.85546875" style="244"/>
    <col min="2817" max="2817" width="1.85546875" style="244" customWidth="1"/>
    <col min="2818" max="2818" width="3.85546875" style="244" customWidth="1"/>
    <col min="2819" max="2819" width="3.5703125" style="244" customWidth="1"/>
    <col min="2820" max="2820" width="4.5703125" style="244" customWidth="1"/>
    <col min="2821" max="2821" width="2.7109375" style="244" customWidth="1"/>
    <col min="2822" max="2822" width="3.85546875" style="244" customWidth="1"/>
    <col min="2823" max="2823" width="2.85546875" style="244" customWidth="1"/>
    <col min="2824" max="2824" width="4.28515625" style="244" customWidth="1"/>
    <col min="2825" max="2825" width="2.7109375" style="244" customWidth="1"/>
    <col min="2826" max="2826" width="18" style="244" customWidth="1"/>
    <col min="2827" max="2827" width="5.7109375" style="244" customWidth="1"/>
    <col min="2828" max="2828" width="7.42578125" style="244" customWidth="1"/>
    <col min="2829" max="2829" width="2.5703125" style="244" customWidth="1"/>
    <col min="2830" max="2830" width="8.5703125" style="244" customWidth="1"/>
    <col min="2831" max="2831" width="11" style="244" customWidth="1"/>
    <col min="2832" max="2832" width="11.7109375" style="244" customWidth="1"/>
    <col min="2833" max="2833" width="16.140625" style="244" customWidth="1"/>
    <col min="2834" max="2834" width="10.42578125" style="244" customWidth="1"/>
    <col min="2835" max="2835" width="11.42578125" style="244" customWidth="1"/>
    <col min="2836" max="2836" width="18.140625" style="244" customWidth="1"/>
    <col min="2837" max="2845" width="1.28515625" style="244" customWidth="1"/>
    <col min="2846" max="2888" width="1.85546875" style="244" customWidth="1"/>
    <col min="2889" max="3067" width="7.28515625" style="244" customWidth="1"/>
    <col min="3068" max="3072" width="6.85546875" style="244"/>
    <col min="3073" max="3073" width="1.85546875" style="244" customWidth="1"/>
    <col min="3074" max="3074" width="3.85546875" style="244" customWidth="1"/>
    <col min="3075" max="3075" width="3.5703125" style="244" customWidth="1"/>
    <col min="3076" max="3076" width="4.5703125" style="244" customWidth="1"/>
    <col min="3077" max="3077" width="2.7109375" style="244" customWidth="1"/>
    <col min="3078" max="3078" width="3.85546875" style="244" customWidth="1"/>
    <col min="3079" max="3079" width="2.85546875" style="244" customWidth="1"/>
    <col min="3080" max="3080" width="4.28515625" style="244" customWidth="1"/>
    <col min="3081" max="3081" width="2.7109375" style="244" customWidth="1"/>
    <col min="3082" max="3082" width="18" style="244" customWidth="1"/>
    <col min="3083" max="3083" width="5.7109375" style="244" customWidth="1"/>
    <col min="3084" max="3084" width="7.42578125" style="244" customWidth="1"/>
    <col min="3085" max="3085" width="2.5703125" style="244" customWidth="1"/>
    <col min="3086" max="3086" width="8.5703125" style="244" customWidth="1"/>
    <col min="3087" max="3087" width="11" style="244" customWidth="1"/>
    <col min="3088" max="3088" width="11.7109375" style="244" customWidth="1"/>
    <col min="3089" max="3089" width="16.140625" style="244" customWidth="1"/>
    <col min="3090" max="3090" width="10.42578125" style="244" customWidth="1"/>
    <col min="3091" max="3091" width="11.42578125" style="244" customWidth="1"/>
    <col min="3092" max="3092" width="18.140625" style="244" customWidth="1"/>
    <col min="3093" max="3101" width="1.28515625" style="244" customWidth="1"/>
    <col min="3102" max="3144" width="1.85546875" style="244" customWidth="1"/>
    <col min="3145" max="3323" width="7.28515625" style="244" customWidth="1"/>
    <col min="3324" max="3328" width="6.85546875" style="244"/>
    <col min="3329" max="3329" width="1.85546875" style="244" customWidth="1"/>
    <col min="3330" max="3330" width="3.85546875" style="244" customWidth="1"/>
    <col min="3331" max="3331" width="3.5703125" style="244" customWidth="1"/>
    <col min="3332" max="3332" width="4.5703125" style="244" customWidth="1"/>
    <col min="3333" max="3333" width="2.7109375" style="244" customWidth="1"/>
    <col min="3334" max="3334" width="3.85546875" style="244" customWidth="1"/>
    <col min="3335" max="3335" width="2.85546875" style="244" customWidth="1"/>
    <col min="3336" max="3336" width="4.28515625" style="244" customWidth="1"/>
    <col min="3337" max="3337" width="2.7109375" style="244" customWidth="1"/>
    <col min="3338" max="3338" width="18" style="244" customWidth="1"/>
    <col min="3339" max="3339" width="5.7109375" style="244" customWidth="1"/>
    <col min="3340" max="3340" width="7.42578125" style="244" customWidth="1"/>
    <col min="3341" max="3341" width="2.5703125" style="244" customWidth="1"/>
    <col min="3342" max="3342" width="8.5703125" style="244" customWidth="1"/>
    <col min="3343" max="3343" width="11" style="244" customWidth="1"/>
    <col min="3344" max="3344" width="11.7109375" style="244" customWidth="1"/>
    <col min="3345" max="3345" width="16.140625" style="244" customWidth="1"/>
    <col min="3346" max="3346" width="10.42578125" style="244" customWidth="1"/>
    <col min="3347" max="3347" width="11.42578125" style="244" customWidth="1"/>
    <col min="3348" max="3348" width="18.140625" style="244" customWidth="1"/>
    <col min="3349" max="3357" width="1.28515625" style="244" customWidth="1"/>
    <col min="3358" max="3400" width="1.85546875" style="244" customWidth="1"/>
    <col min="3401" max="3579" width="7.28515625" style="244" customWidth="1"/>
    <col min="3580" max="3584" width="6.85546875" style="244"/>
    <col min="3585" max="3585" width="1.85546875" style="244" customWidth="1"/>
    <col min="3586" max="3586" width="3.85546875" style="244" customWidth="1"/>
    <col min="3587" max="3587" width="3.5703125" style="244" customWidth="1"/>
    <col min="3588" max="3588" width="4.5703125" style="244" customWidth="1"/>
    <col min="3589" max="3589" width="2.7109375" style="244" customWidth="1"/>
    <col min="3590" max="3590" width="3.85546875" style="244" customWidth="1"/>
    <col min="3591" max="3591" width="2.85546875" style="244" customWidth="1"/>
    <col min="3592" max="3592" width="4.28515625" style="244" customWidth="1"/>
    <col min="3593" max="3593" width="2.7109375" style="244" customWidth="1"/>
    <col min="3594" max="3594" width="18" style="244" customWidth="1"/>
    <col min="3595" max="3595" width="5.7109375" style="244" customWidth="1"/>
    <col min="3596" max="3596" width="7.42578125" style="244" customWidth="1"/>
    <col min="3597" max="3597" width="2.5703125" style="244" customWidth="1"/>
    <col min="3598" max="3598" width="8.5703125" style="244" customWidth="1"/>
    <col min="3599" max="3599" width="11" style="244" customWidth="1"/>
    <col min="3600" max="3600" width="11.7109375" style="244" customWidth="1"/>
    <col min="3601" max="3601" width="16.140625" style="244" customWidth="1"/>
    <col min="3602" max="3602" width="10.42578125" style="244" customWidth="1"/>
    <col min="3603" max="3603" width="11.42578125" style="244" customWidth="1"/>
    <col min="3604" max="3604" width="18.140625" style="244" customWidth="1"/>
    <col min="3605" max="3613" width="1.28515625" style="244" customWidth="1"/>
    <col min="3614" max="3656" width="1.85546875" style="244" customWidth="1"/>
    <col min="3657" max="3835" width="7.28515625" style="244" customWidth="1"/>
    <col min="3836" max="3840" width="6.85546875" style="244"/>
    <col min="3841" max="3841" width="1.85546875" style="244" customWidth="1"/>
    <col min="3842" max="3842" width="3.85546875" style="244" customWidth="1"/>
    <col min="3843" max="3843" width="3.5703125" style="244" customWidth="1"/>
    <col min="3844" max="3844" width="4.5703125" style="244" customWidth="1"/>
    <col min="3845" max="3845" width="2.7109375" style="244" customWidth="1"/>
    <col min="3846" max="3846" width="3.85546875" style="244" customWidth="1"/>
    <col min="3847" max="3847" width="2.85546875" style="244" customWidth="1"/>
    <col min="3848" max="3848" width="4.28515625" style="244" customWidth="1"/>
    <col min="3849" max="3849" width="2.7109375" style="244" customWidth="1"/>
    <col min="3850" max="3850" width="18" style="244" customWidth="1"/>
    <col min="3851" max="3851" width="5.7109375" style="244" customWidth="1"/>
    <col min="3852" max="3852" width="7.42578125" style="244" customWidth="1"/>
    <col min="3853" max="3853" width="2.5703125" style="244" customWidth="1"/>
    <col min="3854" max="3854" width="8.5703125" style="244" customWidth="1"/>
    <col min="3855" max="3855" width="11" style="244" customWidth="1"/>
    <col min="3856" max="3856" width="11.7109375" style="244" customWidth="1"/>
    <col min="3857" max="3857" width="16.140625" style="244" customWidth="1"/>
    <col min="3858" max="3858" width="10.42578125" style="244" customWidth="1"/>
    <col min="3859" max="3859" width="11.42578125" style="244" customWidth="1"/>
    <col min="3860" max="3860" width="18.140625" style="244" customWidth="1"/>
    <col min="3861" max="3869" width="1.28515625" style="244" customWidth="1"/>
    <col min="3870" max="3912" width="1.85546875" style="244" customWidth="1"/>
    <col min="3913" max="4091" width="7.28515625" style="244" customWidth="1"/>
    <col min="4092" max="4096" width="6.85546875" style="244"/>
    <col min="4097" max="4097" width="1.85546875" style="244" customWidth="1"/>
    <col min="4098" max="4098" width="3.85546875" style="244" customWidth="1"/>
    <col min="4099" max="4099" width="3.5703125" style="244" customWidth="1"/>
    <col min="4100" max="4100" width="4.5703125" style="244" customWidth="1"/>
    <col min="4101" max="4101" width="2.7109375" style="244" customWidth="1"/>
    <col min="4102" max="4102" width="3.85546875" style="244" customWidth="1"/>
    <col min="4103" max="4103" width="2.85546875" style="244" customWidth="1"/>
    <col min="4104" max="4104" width="4.28515625" style="244" customWidth="1"/>
    <col min="4105" max="4105" width="2.7109375" style="244" customWidth="1"/>
    <col min="4106" max="4106" width="18" style="244" customWidth="1"/>
    <col min="4107" max="4107" width="5.7109375" style="244" customWidth="1"/>
    <col min="4108" max="4108" width="7.42578125" style="244" customWidth="1"/>
    <col min="4109" max="4109" width="2.5703125" style="244" customWidth="1"/>
    <col min="4110" max="4110" width="8.5703125" style="244" customWidth="1"/>
    <col min="4111" max="4111" width="11" style="244" customWidth="1"/>
    <col min="4112" max="4112" width="11.7109375" style="244" customWidth="1"/>
    <col min="4113" max="4113" width="16.140625" style="244" customWidth="1"/>
    <col min="4114" max="4114" width="10.42578125" style="244" customWidth="1"/>
    <col min="4115" max="4115" width="11.42578125" style="244" customWidth="1"/>
    <col min="4116" max="4116" width="18.140625" style="244" customWidth="1"/>
    <col min="4117" max="4125" width="1.28515625" style="244" customWidth="1"/>
    <col min="4126" max="4168" width="1.85546875" style="244" customWidth="1"/>
    <col min="4169" max="4347" width="7.28515625" style="244" customWidth="1"/>
    <col min="4348" max="4352" width="6.85546875" style="244"/>
    <col min="4353" max="4353" width="1.85546875" style="244" customWidth="1"/>
    <col min="4354" max="4354" width="3.85546875" style="244" customWidth="1"/>
    <col min="4355" max="4355" width="3.5703125" style="244" customWidth="1"/>
    <col min="4356" max="4356" width="4.5703125" style="244" customWidth="1"/>
    <col min="4357" max="4357" width="2.7109375" style="244" customWidth="1"/>
    <col min="4358" max="4358" width="3.85546875" style="244" customWidth="1"/>
    <col min="4359" max="4359" width="2.85546875" style="244" customWidth="1"/>
    <col min="4360" max="4360" width="4.28515625" style="244" customWidth="1"/>
    <col min="4361" max="4361" width="2.7109375" style="244" customWidth="1"/>
    <col min="4362" max="4362" width="18" style="244" customWidth="1"/>
    <col min="4363" max="4363" width="5.7109375" style="244" customWidth="1"/>
    <col min="4364" max="4364" width="7.42578125" style="244" customWidth="1"/>
    <col min="4365" max="4365" width="2.5703125" style="244" customWidth="1"/>
    <col min="4366" max="4366" width="8.5703125" style="244" customWidth="1"/>
    <col min="4367" max="4367" width="11" style="244" customWidth="1"/>
    <col min="4368" max="4368" width="11.7109375" style="244" customWidth="1"/>
    <col min="4369" max="4369" width="16.140625" style="244" customWidth="1"/>
    <col min="4370" max="4370" width="10.42578125" style="244" customWidth="1"/>
    <col min="4371" max="4371" width="11.42578125" style="244" customWidth="1"/>
    <col min="4372" max="4372" width="18.140625" style="244" customWidth="1"/>
    <col min="4373" max="4381" width="1.28515625" style="244" customWidth="1"/>
    <col min="4382" max="4424" width="1.85546875" style="244" customWidth="1"/>
    <col min="4425" max="4603" width="7.28515625" style="244" customWidth="1"/>
    <col min="4604" max="4608" width="6.85546875" style="244"/>
    <col min="4609" max="4609" width="1.85546875" style="244" customWidth="1"/>
    <col min="4610" max="4610" width="3.85546875" style="244" customWidth="1"/>
    <col min="4611" max="4611" width="3.5703125" style="244" customWidth="1"/>
    <col min="4612" max="4612" width="4.5703125" style="244" customWidth="1"/>
    <col min="4613" max="4613" width="2.7109375" style="244" customWidth="1"/>
    <col min="4614" max="4614" width="3.85546875" style="244" customWidth="1"/>
    <col min="4615" max="4615" width="2.85546875" style="244" customWidth="1"/>
    <col min="4616" max="4616" width="4.28515625" style="244" customWidth="1"/>
    <col min="4617" max="4617" width="2.7109375" style="244" customWidth="1"/>
    <col min="4618" max="4618" width="18" style="244" customWidth="1"/>
    <col min="4619" max="4619" width="5.7109375" style="244" customWidth="1"/>
    <col min="4620" max="4620" width="7.42578125" style="244" customWidth="1"/>
    <col min="4621" max="4621" width="2.5703125" style="244" customWidth="1"/>
    <col min="4622" max="4622" width="8.5703125" style="244" customWidth="1"/>
    <col min="4623" max="4623" width="11" style="244" customWidth="1"/>
    <col min="4624" max="4624" width="11.7109375" style="244" customWidth="1"/>
    <col min="4625" max="4625" width="16.140625" style="244" customWidth="1"/>
    <col min="4626" max="4626" width="10.42578125" style="244" customWidth="1"/>
    <col min="4627" max="4627" width="11.42578125" style="244" customWidth="1"/>
    <col min="4628" max="4628" width="18.140625" style="244" customWidth="1"/>
    <col min="4629" max="4637" width="1.28515625" style="244" customWidth="1"/>
    <col min="4638" max="4680" width="1.85546875" style="244" customWidth="1"/>
    <col min="4681" max="4859" width="7.28515625" style="244" customWidth="1"/>
    <col min="4860" max="4864" width="6.85546875" style="244"/>
    <col min="4865" max="4865" width="1.85546875" style="244" customWidth="1"/>
    <col min="4866" max="4866" width="3.85546875" style="244" customWidth="1"/>
    <col min="4867" max="4867" width="3.5703125" style="244" customWidth="1"/>
    <col min="4868" max="4868" width="4.5703125" style="244" customWidth="1"/>
    <col min="4869" max="4869" width="2.7109375" style="244" customWidth="1"/>
    <col min="4870" max="4870" width="3.85546875" style="244" customWidth="1"/>
    <col min="4871" max="4871" width="2.85546875" style="244" customWidth="1"/>
    <col min="4872" max="4872" width="4.28515625" style="244" customWidth="1"/>
    <col min="4873" max="4873" width="2.7109375" style="244" customWidth="1"/>
    <col min="4874" max="4874" width="18" style="244" customWidth="1"/>
    <col min="4875" max="4875" width="5.7109375" style="244" customWidth="1"/>
    <col min="4876" max="4876" width="7.42578125" style="244" customWidth="1"/>
    <col min="4877" max="4877" width="2.5703125" style="244" customWidth="1"/>
    <col min="4878" max="4878" width="8.5703125" style="244" customWidth="1"/>
    <col min="4879" max="4879" width="11" style="244" customWidth="1"/>
    <col min="4880" max="4880" width="11.7109375" style="244" customWidth="1"/>
    <col min="4881" max="4881" width="16.140625" style="244" customWidth="1"/>
    <col min="4882" max="4882" width="10.42578125" style="244" customWidth="1"/>
    <col min="4883" max="4883" width="11.42578125" style="244" customWidth="1"/>
    <col min="4884" max="4884" width="18.140625" style="244" customWidth="1"/>
    <col min="4885" max="4893" width="1.28515625" style="244" customWidth="1"/>
    <col min="4894" max="4936" width="1.85546875" style="244" customWidth="1"/>
    <col min="4937" max="5115" width="7.28515625" style="244" customWidth="1"/>
    <col min="5116" max="5120" width="6.85546875" style="244"/>
    <col min="5121" max="5121" width="1.85546875" style="244" customWidth="1"/>
    <col min="5122" max="5122" width="3.85546875" style="244" customWidth="1"/>
    <col min="5123" max="5123" width="3.5703125" style="244" customWidth="1"/>
    <col min="5124" max="5124" width="4.5703125" style="244" customWidth="1"/>
    <col min="5125" max="5125" width="2.7109375" style="244" customWidth="1"/>
    <col min="5126" max="5126" width="3.85546875" style="244" customWidth="1"/>
    <col min="5127" max="5127" width="2.85546875" style="244" customWidth="1"/>
    <col min="5128" max="5128" width="4.28515625" style="244" customWidth="1"/>
    <col min="5129" max="5129" width="2.7109375" style="244" customWidth="1"/>
    <col min="5130" max="5130" width="18" style="244" customWidth="1"/>
    <col min="5131" max="5131" width="5.7109375" style="244" customWidth="1"/>
    <col min="5132" max="5132" width="7.42578125" style="244" customWidth="1"/>
    <col min="5133" max="5133" width="2.5703125" style="244" customWidth="1"/>
    <col min="5134" max="5134" width="8.5703125" style="244" customWidth="1"/>
    <col min="5135" max="5135" width="11" style="244" customWidth="1"/>
    <col min="5136" max="5136" width="11.7109375" style="244" customWidth="1"/>
    <col min="5137" max="5137" width="16.140625" style="244" customWidth="1"/>
    <col min="5138" max="5138" width="10.42578125" style="244" customWidth="1"/>
    <col min="5139" max="5139" width="11.42578125" style="244" customWidth="1"/>
    <col min="5140" max="5140" width="18.140625" style="244" customWidth="1"/>
    <col min="5141" max="5149" width="1.28515625" style="244" customWidth="1"/>
    <col min="5150" max="5192" width="1.85546875" style="244" customWidth="1"/>
    <col min="5193" max="5371" width="7.28515625" style="244" customWidth="1"/>
    <col min="5372" max="5376" width="6.85546875" style="244"/>
    <col min="5377" max="5377" width="1.85546875" style="244" customWidth="1"/>
    <col min="5378" max="5378" width="3.85546875" style="244" customWidth="1"/>
    <col min="5379" max="5379" width="3.5703125" style="244" customWidth="1"/>
    <col min="5380" max="5380" width="4.5703125" style="244" customWidth="1"/>
    <col min="5381" max="5381" width="2.7109375" style="244" customWidth="1"/>
    <col min="5382" max="5382" width="3.85546875" style="244" customWidth="1"/>
    <col min="5383" max="5383" width="2.85546875" style="244" customWidth="1"/>
    <col min="5384" max="5384" width="4.28515625" style="244" customWidth="1"/>
    <col min="5385" max="5385" width="2.7109375" style="244" customWidth="1"/>
    <col min="5386" max="5386" width="18" style="244" customWidth="1"/>
    <col min="5387" max="5387" width="5.7109375" style="244" customWidth="1"/>
    <col min="5388" max="5388" width="7.42578125" style="244" customWidth="1"/>
    <col min="5389" max="5389" width="2.5703125" style="244" customWidth="1"/>
    <col min="5390" max="5390" width="8.5703125" style="244" customWidth="1"/>
    <col min="5391" max="5391" width="11" style="244" customWidth="1"/>
    <col min="5392" max="5392" width="11.7109375" style="244" customWidth="1"/>
    <col min="5393" max="5393" width="16.140625" style="244" customWidth="1"/>
    <col min="5394" max="5394" width="10.42578125" style="244" customWidth="1"/>
    <col min="5395" max="5395" width="11.42578125" style="244" customWidth="1"/>
    <col min="5396" max="5396" width="18.140625" style="244" customWidth="1"/>
    <col min="5397" max="5405" width="1.28515625" style="244" customWidth="1"/>
    <col min="5406" max="5448" width="1.85546875" style="244" customWidth="1"/>
    <col min="5449" max="5627" width="7.28515625" style="244" customWidth="1"/>
    <col min="5628" max="5632" width="6.85546875" style="244"/>
    <col min="5633" max="5633" width="1.85546875" style="244" customWidth="1"/>
    <col min="5634" max="5634" width="3.85546875" style="244" customWidth="1"/>
    <col min="5635" max="5635" width="3.5703125" style="244" customWidth="1"/>
    <col min="5636" max="5636" width="4.5703125" style="244" customWidth="1"/>
    <col min="5637" max="5637" width="2.7109375" style="244" customWidth="1"/>
    <col min="5638" max="5638" width="3.85546875" style="244" customWidth="1"/>
    <col min="5639" max="5639" width="2.85546875" style="244" customWidth="1"/>
    <col min="5640" max="5640" width="4.28515625" style="244" customWidth="1"/>
    <col min="5641" max="5641" width="2.7109375" style="244" customWidth="1"/>
    <col min="5642" max="5642" width="18" style="244" customWidth="1"/>
    <col min="5643" max="5643" width="5.7109375" style="244" customWidth="1"/>
    <col min="5644" max="5644" width="7.42578125" style="244" customWidth="1"/>
    <col min="5645" max="5645" width="2.5703125" style="244" customWidth="1"/>
    <col min="5646" max="5646" width="8.5703125" style="244" customWidth="1"/>
    <col min="5647" max="5647" width="11" style="244" customWidth="1"/>
    <col min="5648" max="5648" width="11.7109375" style="244" customWidth="1"/>
    <col min="5649" max="5649" width="16.140625" style="244" customWidth="1"/>
    <col min="5650" max="5650" width="10.42578125" style="244" customWidth="1"/>
    <col min="5651" max="5651" width="11.42578125" style="244" customWidth="1"/>
    <col min="5652" max="5652" width="18.140625" style="244" customWidth="1"/>
    <col min="5653" max="5661" width="1.28515625" style="244" customWidth="1"/>
    <col min="5662" max="5704" width="1.85546875" style="244" customWidth="1"/>
    <col min="5705" max="5883" width="7.28515625" style="244" customWidth="1"/>
    <col min="5884" max="5888" width="6.85546875" style="244"/>
    <col min="5889" max="5889" width="1.85546875" style="244" customWidth="1"/>
    <col min="5890" max="5890" width="3.85546875" style="244" customWidth="1"/>
    <col min="5891" max="5891" width="3.5703125" style="244" customWidth="1"/>
    <col min="5892" max="5892" width="4.5703125" style="244" customWidth="1"/>
    <col min="5893" max="5893" width="2.7109375" style="244" customWidth="1"/>
    <col min="5894" max="5894" width="3.85546875" style="244" customWidth="1"/>
    <col min="5895" max="5895" width="2.85546875" style="244" customWidth="1"/>
    <col min="5896" max="5896" width="4.28515625" style="244" customWidth="1"/>
    <col min="5897" max="5897" width="2.7109375" style="244" customWidth="1"/>
    <col min="5898" max="5898" width="18" style="244" customWidth="1"/>
    <col min="5899" max="5899" width="5.7109375" style="244" customWidth="1"/>
    <col min="5900" max="5900" width="7.42578125" style="244" customWidth="1"/>
    <col min="5901" max="5901" width="2.5703125" style="244" customWidth="1"/>
    <col min="5902" max="5902" width="8.5703125" style="244" customWidth="1"/>
    <col min="5903" max="5903" width="11" style="244" customWidth="1"/>
    <col min="5904" max="5904" width="11.7109375" style="244" customWidth="1"/>
    <col min="5905" max="5905" width="16.140625" style="244" customWidth="1"/>
    <col min="5906" max="5906" width="10.42578125" style="244" customWidth="1"/>
    <col min="5907" max="5907" width="11.42578125" style="244" customWidth="1"/>
    <col min="5908" max="5908" width="18.140625" style="244" customWidth="1"/>
    <col min="5909" max="5917" width="1.28515625" style="244" customWidth="1"/>
    <col min="5918" max="5960" width="1.85546875" style="244" customWidth="1"/>
    <col min="5961" max="6139" width="7.28515625" style="244" customWidth="1"/>
    <col min="6140" max="6144" width="6.85546875" style="244"/>
    <col min="6145" max="6145" width="1.85546875" style="244" customWidth="1"/>
    <col min="6146" max="6146" width="3.85546875" style="244" customWidth="1"/>
    <col min="6147" max="6147" width="3.5703125" style="244" customWidth="1"/>
    <col min="6148" max="6148" width="4.5703125" style="244" customWidth="1"/>
    <col min="6149" max="6149" width="2.7109375" style="244" customWidth="1"/>
    <col min="6150" max="6150" width="3.85546875" style="244" customWidth="1"/>
    <col min="6151" max="6151" width="2.85546875" style="244" customWidth="1"/>
    <col min="6152" max="6152" width="4.28515625" style="244" customWidth="1"/>
    <col min="6153" max="6153" width="2.7109375" style="244" customWidth="1"/>
    <col min="6154" max="6154" width="18" style="244" customWidth="1"/>
    <col min="6155" max="6155" width="5.7109375" style="244" customWidth="1"/>
    <col min="6156" max="6156" width="7.42578125" style="244" customWidth="1"/>
    <col min="6157" max="6157" width="2.5703125" style="244" customWidth="1"/>
    <col min="6158" max="6158" width="8.5703125" style="244" customWidth="1"/>
    <col min="6159" max="6159" width="11" style="244" customWidth="1"/>
    <col min="6160" max="6160" width="11.7109375" style="244" customWidth="1"/>
    <col min="6161" max="6161" width="16.140625" style="244" customWidth="1"/>
    <col min="6162" max="6162" width="10.42578125" style="244" customWidth="1"/>
    <col min="6163" max="6163" width="11.42578125" style="244" customWidth="1"/>
    <col min="6164" max="6164" width="18.140625" style="244" customWidth="1"/>
    <col min="6165" max="6173" width="1.28515625" style="244" customWidth="1"/>
    <col min="6174" max="6216" width="1.85546875" style="244" customWidth="1"/>
    <col min="6217" max="6395" width="7.28515625" style="244" customWidth="1"/>
    <col min="6396" max="6400" width="6.85546875" style="244"/>
    <col min="6401" max="6401" width="1.85546875" style="244" customWidth="1"/>
    <col min="6402" max="6402" width="3.85546875" style="244" customWidth="1"/>
    <col min="6403" max="6403" width="3.5703125" style="244" customWidth="1"/>
    <col min="6404" max="6404" width="4.5703125" style="244" customWidth="1"/>
    <col min="6405" max="6405" width="2.7109375" style="244" customWidth="1"/>
    <col min="6406" max="6406" width="3.85546875" style="244" customWidth="1"/>
    <col min="6407" max="6407" width="2.85546875" style="244" customWidth="1"/>
    <col min="6408" max="6408" width="4.28515625" style="244" customWidth="1"/>
    <col min="6409" max="6409" width="2.7109375" style="244" customWidth="1"/>
    <col min="6410" max="6410" width="18" style="244" customWidth="1"/>
    <col min="6411" max="6411" width="5.7109375" style="244" customWidth="1"/>
    <col min="6412" max="6412" width="7.42578125" style="244" customWidth="1"/>
    <col min="6413" max="6413" width="2.5703125" style="244" customWidth="1"/>
    <col min="6414" max="6414" width="8.5703125" style="244" customWidth="1"/>
    <col min="6415" max="6415" width="11" style="244" customWidth="1"/>
    <col min="6416" max="6416" width="11.7109375" style="244" customWidth="1"/>
    <col min="6417" max="6417" width="16.140625" style="244" customWidth="1"/>
    <col min="6418" max="6418" width="10.42578125" style="244" customWidth="1"/>
    <col min="6419" max="6419" width="11.42578125" style="244" customWidth="1"/>
    <col min="6420" max="6420" width="18.140625" style="244" customWidth="1"/>
    <col min="6421" max="6429" width="1.28515625" style="244" customWidth="1"/>
    <col min="6430" max="6472" width="1.85546875" style="244" customWidth="1"/>
    <col min="6473" max="6651" width="7.28515625" style="244" customWidth="1"/>
    <col min="6652" max="6656" width="6.85546875" style="244"/>
    <col min="6657" max="6657" width="1.85546875" style="244" customWidth="1"/>
    <col min="6658" max="6658" width="3.85546875" style="244" customWidth="1"/>
    <col min="6659" max="6659" width="3.5703125" style="244" customWidth="1"/>
    <col min="6660" max="6660" width="4.5703125" style="244" customWidth="1"/>
    <col min="6661" max="6661" width="2.7109375" style="244" customWidth="1"/>
    <col min="6662" max="6662" width="3.85546875" style="244" customWidth="1"/>
    <col min="6663" max="6663" width="2.85546875" style="244" customWidth="1"/>
    <col min="6664" max="6664" width="4.28515625" style="244" customWidth="1"/>
    <col min="6665" max="6665" width="2.7109375" style="244" customWidth="1"/>
    <col min="6666" max="6666" width="18" style="244" customWidth="1"/>
    <col min="6667" max="6667" width="5.7109375" style="244" customWidth="1"/>
    <col min="6668" max="6668" width="7.42578125" style="244" customWidth="1"/>
    <col min="6669" max="6669" width="2.5703125" style="244" customWidth="1"/>
    <col min="6670" max="6670" width="8.5703125" style="244" customWidth="1"/>
    <col min="6671" max="6671" width="11" style="244" customWidth="1"/>
    <col min="6672" max="6672" width="11.7109375" style="244" customWidth="1"/>
    <col min="6673" max="6673" width="16.140625" style="244" customWidth="1"/>
    <col min="6674" max="6674" width="10.42578125" style="244" customWidth="1"/>
    <col min="6675" max="6675" width="11.42578125" style="244" customWidth="1"/>
    <col min="6676" max="6676" width="18.140625" style="244" customWidth="1"/>
    <col min="6677" max="6685" width="1.28515625" style="244" customWidth="1"/>
    <col min="6686" max="6728" width="1.85546875" style="244" customWidth="1"/>
    <col min="6729" max="6907" width="7.28515625" style="244" customWidth="1"/>
    <col min="6908" max="6912" width="6.85546875" style="244"/>
    <col min="6913" max="6913" width="1.85546875" style="244" customWidth="1"/>
    <col min="6914" max="6914" width="3.85546875" style="244" customWidth="1"/>
    <col min="6915" max="6915" width="3.5703125" style="244" customWidth="1"/>
    <col min="6916" max="6916" width="4.5703125" style="244" customWidth="1"/>
    <col min="6917" max="6917" width="2.7109375" style="244" customWidth="1"/>
    <col min="6918" max="6918" width="3.85546875" style="244" customWidth="1"/>
    <col min="6919" max="6919" width="2.85546875" style="244" customWidth="1"/>
    <col min="6920" max="6920" width="4.28515625" style="244" customWidth="1"/>
    <col min="6921" max="6921" width="2.7109375" style="244" customWidth="1"/>
    <col min="6922" max="6922" width="18" style="244" customWidth="1"/>
    <col min="6923" max="6923" width="5.7109375" style="244" customWidth="1"/>
    <col min="6924" max="6924" width="7.42578125" style="244" customWidth="1"/>
    <col min="6925" max="6925" width="2.5703125" style="244" customWidth="1"/>
    <col min="6926" max="6926" width="8.5703125" style="244" customWidth="1"/>
    <col min="6927" max="6927" width="11" style="244" customWidth="1"/>
    <col min="6928" max="6928" width="11.7109375" style="244" customWidth="1"/>
    <col min="6929" max="6929" width="16.140625" style="244" customWidth="1"/>
    <col min="6930" max="6930" width="10.42578125" style="244" customWidth="1"/>
    <col min="6931" max="6931" width="11.42578125" style="244" customWidth="1"/>
    <col min="6932" max="6932" width="18.140625" style="244" customWidth="1"/>
    <col min="6933" max="6941" width="1.28515625" style="244" customWidth="1"/>
    <col min="6942" max="6984" width="1.85546875" style="244" customWidth="1"/>
    <col min="6985" max="7163" width="7.28515625" style="244" customWidth="1"/>
    <col min="7164" max="7168" width="6.85546875" style="244"/>
    <col min="7169" max="7169" width="1.85546875" style="244" customWidth="1"/>
    <col min="7170" max="7170" width="3.85546875" style="244" customWidth="1"/>
    <col min="7171" max="7171" width="3.5703125" style="244" customWidth="1"/>
    <col min="7172" max="7172" width="4.5703125" style="244" customWidth="1"/>
    <col min="7173" max="7173" width="2.7109375" style="244" customWidth="1"/>
    <col min="7174" max="7174" width="3.85546875" style="244" customWidth="1"/>
    <col min="7175" max="7175" width="2.85546875" style="244" customWidth="1"/>
    <col min="7176" max="7176" width="4.28515625" style="244" customWidth="1"/>
    <col min="7177" max="7177" width="2.7109375" style="244" customWidth="1"/>
    <col min="7178" max="7178" width="18" style="244" customWidth="1"/>
    <col min="7179" max="7179" width="5.7109375" style="244" customWidth="1"/>
    <col min="7180" max="7180" width="7.42578125" style="244" customWidth="1"/>
    <col min="7181" max="7181" width="2.5703125" style="244" customWidth="1"/>
    <col min="7182" max="7182" width="8.5703125" style="244" customWidth="1"/>
    <col min="7183" max="7183" width="11" style="244" customWidth="1"/>
    <col min="7184" max="7184" width="11.7109375" style="244" customWidth="1"/>
    <col min="7185" max="7185" width="16.140625" style="244" customWidth="1"/>
    <col min="7186" max="7186" width="10.42578125" style="244" customWidth="1"/>
    <col min="7187" max="7187" width="11.42578125" style="244" customWidth="1"/>
    <col min="7188" max="7188" width="18.140625" style="244" customWidth="1"/>
    <col min="7189" max="7197" width="1.28515625" style="244" customWidth="1"/>
    <col min="7198" max="7240" width="1.85546875" style="244" customWidth="1"/>
    <col min="7241" max="7419" width="7.28515625" style="244" customWidth="1"/>
    <col min="7420" max="7424" width="6.85546875" style="244"/>
    <col min="7425" max="7425" width="1.85546875" style="244" customWidth="1"/>
    <col min="7426" max="7426" width="3.85546875" style="244" customWidth="1"/>
    <col min="7427" max="7427" width="3.5703125" style="244" customWidth="1"/>
    <col min="7428" max="7428" width="4.5703125" style="244" customWidth="1"/>
    <col min="7429" max="7429" width="2.7109375" style="244" customWidth="1"/>
    <col min="7430" max="7430" width="3.85546875" style="244" customWidth="1"/>
    <col min="7431" max="7431" width="2.85546875" style="244" customWidth="1"/>
    <col min="7432" max="7432" width="4.28515625" style="244" customWidth="1"/>
    <col min="7433" max="7433" width="2.7109375" style="244" customWidth="1"/>
    <col min="7434" max="7434" width="18" style="244" customWidth="1"/>
    <col min="7435" max="7435" width="5.7109375" style="244" customWidth="1"/>
    <col min="7436" max="7436" width="7.42578125" style="244" customWidth="1"/>
    <col min="7437" max="7437" width="2.5703125" style="244" customWidth="1"/>
    <col min="7438" max="7438" width="8.5703125" style="244" customWidth="1"/>
    <col min="7439" max="7439" width="11" style="244" customWidth="1"/>
    <col min="7440" max="7440" width="11.7109375" style="244" customWidth="1"/>
    <col min="7441" max="7441" width="16.140625" style="244" customWidth="1"/>
    <col min="7442" max="7442" width="10.42578125" style="244" customWidth="1"/>
    <col min="7443" max="7443" width="11.42578125" style="244" customWidth="1"/>
    <col min="7444" max="7444" width="18.140625" style="244" customWidth="1"/>
    <col min="7445" max="7453" width="1.28515625" style="244" customWidth="1"/>
    <col min="7454" max="7496" width="1.85546875" style="244" customWidth="1"/>
    <col min="7497" max="7675" width="7.28515625" style="244" customWidth="1"/>
    <col min="7676" max="7680" width="6.85546875" style="244"/>
    <col min="7681" max="7681" width="1.85546875" style="244" customWidth="1"/>
    <col min="7682" max="7682" width="3.85546875" style="244" customWidth="1"/>
    <col min="7683" max="7683" width="3.5703125" style="244" customWidth="1"/>
    <col min="7684" max="7684" width="4.5703125" style="244" customWidth="1"/>
    <col min="7685" max="7685" width="2.7109375" style="244" customWidth="1"/>
    <col min="7686" max="7686" width="3.85546875" style="244" customWidth="1"/>
    <col min="7687" max="7687" width="2.85546875" style="244" customWidth="1"/>
    <col min="7688" max="7688" width="4.28515625" style="244" customWidth="1"/>
    <col min="7689" max="7689" width="2.7109375" style="244" customWidth="1"/>
    <col min="7690" max="7690" width="18" style="244" customWidth="1"/>
    <col min="7691" max="7691" width="5.7109375" style="244" customWidth="1"/>
    <col min="7692" max="7692" width="7.42578125" style="244" customWidth="1"/>
    <col min="7693" max="7693" width="2.5703125" style="244" customWidth="1"/>
    <col min="7694" max="7694" width="8.5703125" style="244" customWidth="1"/>
    <col min="7695" max="7695" width="11" style="244" customWidth="1"/>
    <col min="7696" max="7696" width="11.7109375" style="244" customWidth="1"/>
    <col min="7697" max="7697" width="16.140625" style="244" customWidth="1"/>
    <col min="7698" max="7698" width="10.42578125" style="244" customWidth="1"/>
    <col min="7699" max="7699" width="11.42578125" style="244" customWidth="1"/>
    <col min="7700" max="7700" width="18.140625" style="244" customWidth="1"/>
    <col min="7701" max="7709" width="1.28515625" style="244" customWidth="1"/>
    <col min="7710" max="7752" width="1.85546875" style="244" customWidth="1"/>
    <col min="7753" max="7931" width="7.28515625" style="244" customWidth="1"/>
    <col min="7932" max="7936" width="6.85546875" style="244"/>
    <col min="7937" max="7937" width="1.85546875" style="244" customWidth="1"/>
    <col min="7938" max="7938" width="3.85546875" style="244" customWidth="1"/>
    <col min="7939" max="7939" width="3.5703125" style="244" customWidth="1"/>
    <col min="7940" max="7940" width="4.5703125" style="244" customWidth="1"/>
    <col min="7941" max="7941" width="2.7109375" style="244" customWidth="1"/>
    <col min="7942" max="7942" width="3.85546875" style="244" customWidth="1"/>
    <col min="7943" max="7943" width="2.85546875" style="244" customWidth="1"/>
    <col min="7944" max="7944" width="4.28515625" style="244" customWidth="1"/>
    <col min="7945" max="7945" width="2.7109375" style="244" customWidth="1"/>
    <col min="7946" max="7946" width="18" style="244" customWidth="1"/>
    <col min="7947" max="7947" width="5.7109375" style="244" customWidth="1"/>
    <col min="7948" max="7948" width="7.42578125" style="244" customWidth="1"/>
    <col min="7949" max="7949" width="2.5703125" style="244" customWidth="1"/>
    <col min="7950" max="7950" width="8.5703125" style="244" customWidth="1"/>
    <col min="7951" max="7951" width="11" style="244" customWidth="1"/>
    <col min="7952" max="7952" width="11.7109375" style="244" customWidth="1"/>
    <col min="7953" max="7953" width="16.140625" style="244" customWidth="1"/>
    <col min="7954" max="7954" width="10.42578125" style="244" customWidth="1"/>
    <col min="7955" max="7955" width="11.42578125" style="244" customWidth="1"/>
    <col min="7956" max="7956" width="18.140625" style="244" customWidth="1"/>
    <col min="7957" max="7965" width="1.28515625" style="244" customWidth="1"/>
    <col min="7966" max="8008" width="1.85546875" style="244" customWidth="1"/>
    <col min="8009" max="8187" width="7.28515625" style="244" customWidth="1"/>
    <col min="8188" max="8192" width="6.85546875" style="244"/>
    <col min="8193" max="8193" width="1.85546875" style="244" customWidth="1"/>
    <col min="8194" max="8194" width="3.85546875" style="244" customWidth="1"/>
    <col min="8195" max="8195" width="3.5703125" style="244" customWidth="1"/>
    <col min="8196" max="8196" width="4.5703125" style="244" customWidth="1"/>
    <col min="8197" max="8197" width="2.7109375" style="244" customWidth="1"/>
    <col min="8198" max="8198" width="3.85546875" style="244" customWidth="1"/>
    <col min="8199" max="8199" width="2.85546875" style="244" customWidth="1"/>
    <col min="8200" max="8200" width="4.28515625" style="244" customWidth="1"/>
    <col min="8201" max="8201" width="2.7109375" style="244" customWidth="1"/>
    <col min="8202" max="8202" width="18" style="244" customWidth="1"/>
    <col min="8203" max="8203" width="5.7109375" style="244" customWidth="1"/>
    <col min="8204" max="8204" width="7.42578125" style="244" customWidth="1"/>
    <col min="8205" max="8205" width="2.5703125" style="244" customWidth="1"/>
    <col min="8206" max="8206" width="8.5703125" style="244" customWidth="1"/>
    <col min="8207" max="8207" width="11" style="244" customWidth="1"/>
    <col min="8208" max="8208" width="11.7109375" style="244" customWidth="1"/>
    <col min="8209" max="8209" width="16.140625" style="244" customWidth="1"/>
    <col min="8210" max="8210" width="10.42578125" style="244" customWidth="1"/>
    <col min="8211" max="8211" width="11.42578125" style="244" customWidth="1"/>
    <col min="8212" max="8212" width="18.140625" style="244" customWidth="1"/>
    <col min="8213" max="8221" width="1.28515625" style="244" customWidth="1"/>
    <col min="8222" max="8264" width="1.85546875" style="244" customWidth="1"/>
    <col min="8265" max="8443" width="7.28515625" style="244" customWidth="1"/>
    <col min="8444" max="8448" width="6.85546875" style="244"/>
    <col min="8449" max="8449" width="1.85546875" style="244" customWidth="1"/>
    <col min="8450" max="8450" width="3.85546875" style="244" customWidth="1"/>
    <col min="8451" max="8451" width="3.5703125" style="244" customWidth="1"/>
    <col min="8452" max="8452" width="4.5703125" style="244" customWidth="1"/>
    <col min="8453" max="8453" width="2.7109375" style="244" customWidth="1"/>
    <col min="8454" max="8454" width="3.85546875" style="244" customWidth="1"/>
    <col min="8455" max="8455" width="2.85546875" style="244" customWidth="1"/>
    <col min="8456" max="8456" width="4.28515625" style="244" customWidth="1"/>
    <col min="8457" max="8457" width="2.7109375" style="244" customWidth="1"/>
    <col min="8458" max="8458" width="18" style="244" customWidth="1"/>
    <col min="8459" max="8459" width="5.7109375" style="244" customWidth="1"/>
    <col min="8460" max="8460" width="7.42578125" style="244" customWidth="1"/>
    <col min="8461" max="8461" width="2.5703125" style="244" customWidth="1"/>
    <col min="8462" max="8462" width="8.5703125" style="244" customWidth="1"/>
    <col min="8463" max="8463" width="11" style="244" customWidth="1"/>
    <col min="8464" max="8464" width="11.7109375" style="244" customWidth="1"/>
    <col min="8465" max="8465" width="16.140625" style="244" customWidth="1"/>
    <col min="8466" max="8466" width="10.42578125" style="244" customWidth="1"/>
    <col min="8467" max="8467" width="11.42578125" style="244" customWidth="1"/>
    <col min="8468" max="8468" width="18.140625" style="244" customWidth="1"/>
    <col min="8469" max="8477" width="1.28515625" style="244" customWidth="1"/>
    <col min="8478" max="8520" width="1.85546875" style="244" customWidth="1"/>
    <col min="8521" max="8699" width="7.28515625" style="244" customWidth="1"/>
    <col min="8700" max="8704" width="6.85546875" style="244"/>
    <col min="8705" max="8705" width="1.85546875" style="244" customWidth="1"/>
    <col min="8706" max="8706" width="3.85546875" style="244" customWidth="1"/>
    <col min="8707" max="8707" width="3.5703125" style="244" customWidth="1"/>
    <col min="8708" max="8708" width="4.5703125" style="244" customWidth="1"/>
    <col min="8709" max="8709" width="2.7109375" style="244" customWidth="1"/>
    <col min="8710" max="8710" width="3.85546875" style="244" customWidth="1"/>
    <col min="8711" max="8711" width="2.85546875" style="244" customWidth="1"/>
    <col min="8712" max="8712" width="4.28515625" style="244" customWidth="1"/>
    <col min="8713" max="8713" width="2.7109375" style="244" customWidth="1"/>
    <col min="8714" max="8714" width="18" style="244" customWidth="1"/>
    <col min="8715" max="8715" width="5.7109375" style="244" customWidth="1"/>
    <col min="8716" max="8716" width="7.42578125" style="244" customWidth="1"/>
    <col min="8717" max="8717" width="2.5703125" style="244" customWidth="1"/>
    <col min="8718" max="8718" width="8.5703125" style="244" customWidth="1"/>
    <col min="8719" max="8719" width="11" style="244" customWidth="1"/>
    <col min="8720" max="8720" width="11.7109375" style="244" customWidth="1"/>
    <col min="8721" max="8721" width="16.140625" style="244" customWidth="1"/>
    <col min="8722" max="8722" width="10.42578125" style="244" customWidth="1"/>
    <col min="8723" max="8723" width="11.42578125" style="244" customWidth="1"/>
    <col min="8724" max="8724" width="18.140625" style="244" customWidth="1"/>
    <col min="8725" max="8733" width="1.28515625" style="244" customWidth="1"/>
    <col min="8734" max="8776" width="1.85546875" style="244" customWidth="1"/>
    <col min="8777" max="8955" width="7.28515625" style="244" customWidth="1"/>
    <col min="8956" max="8960" width="6.85546875" style="244"/>
    <col min="8961" max="8961" width="1.85546875" style="244" customWidth="1"/>
    <col min="8962" max="8962" width="3.85546875" style="244" customWidth="1"/>
    <col min="8963" max="8963" width="3.5703125" style="244" customWidth="1"/>
    <col min="8964" max="8964" width="4.5703125" style="244" customWidth="1"/>
    <col min="8965" max="8965" width="2.7109375" style="244" customWidth="1"/>
    <col min="8966" max="8966" width="3.85546875" style="244" customWidth="1"/>
    <col min="8967" max="8967" width="2.85546875" style="244" customWidth="1"/>
    <col min="8968" max="8968" width="4.28515625" style="244" customWidth="1"/>
    <col min="8969" max="8969" width="2.7109375" style="244" customWidth="1"/>
    <col min="8970" max="8970" width="18" style="244" customWidth="1"/>
    <col min="8971" max="8971" width="5.7109375" style="244" customWidth="1"/>
    <col min="8972" max="8972" width="7.42578125" style="244" customWidth="1"/>
    <col min="8973" max="8973" width="2.5703125" style="244" customWidth="1"/>
    <col min="8974" max="8974" width="8.5703125" style="244" customWidth="1"/>
    <col min="8975" max="8975" width="11" style="244" customWidth="1"/>
    <col min="8976" max="8976" width="11.7109375" style="244" customWidth="1"/>
    <col min="8977" max="8977" width="16.140625" style="244" customWidth="1"/>
    <col min="8978" max="8978" width="10.42578125" style="244" customWidth="1"/>
    <col min="8979" max="8979" width="11.42578125" style="244" customWidth="1"/>
    <col min="8980" max="8980" width="18.140625" style="244" customWidth="1"/>
    <col min="8981" max="8989" width="1.28515625" style="244" customWidth="1"/>
    <col min="8990" max="9032" width="1.85546875" style="244" customWidth="1"/>
    <col min="9033" max="9211" width="7.28515625" style="244" customWidth="1"/>
    <col min="9212" max="9216" width="6.85546875" style="244"/>
    <col min="9217" max="9217" width="1.85546875" style="244" customWidth="1"/>
    <col min="9218" max="9218" width="3.85546875" style="244" customWidth="1"/>
    <col min="9219" max="9219" width="3.5703125" style="244" customWidth="1"/>
    <col min="9220" max="9220" width="4.5703125" style="244" customWidth="1"/>
    <col min="9221" max="9221" width="2.7109375" style="244" customWidth="1"/>
    <col min="9222" max="9222" width="3.85546875" style="244" customWidth="1"/>
    <col min="9223" max="9223" width="2.85546875" style="244" customWidth="1"/>
    <col min="9224" max="9224" width="4.28515625" style="244" customWidth="1"/>
    <col min="9225" max="9225" width="2.7109375" style="244" customWidth="1"/>
    <col min="9226" max="9226" width="18" style="244" customWidth="1"/>
    <col min="9227" max="9227" width="5.7109375" style="244" customWidth="1"/>
    <col min="9228" max="9228" width="7.42578125" style="244" customWidth="1"/>
    <col min="9229" max="9229" width="2.5703125" style="244" customWidth="1"/>
    <col min="9230" max="9230" width="8.5703125" style="244" customWidth="1"/>
    <col min="9231" max="9231" width="11" style="244" customWidth="1"/>
    <col min="9232" max="9232" width="11.7109375" style="244" customWidth="1"/>
    <col min="9233" max="9233" width="16.140625" style="244" customWidth="1"/>
    <col min="9234" max="9234" width="10.42578125" style="244" customWidth="1"/>
    <col min="9235" max="9235" width="11.42578125" style="244" customWidth="1"/>
    <col min="9236" max="9236" width="18.140625" style="244" customWidth="1"/>
    <col min="9237" max="9245" width="1.28515625" style="244" customWidth="1"/>
    <col min="9246" max="9288" width="1.85546875" style="244" customWidth="1"/>
    <col min="9289" max="9467" width="7.28515625" style="244" customWidth="1"/>
    <col min="9468" max="9472" width="6.85546875" style="244"/>
    <col min="9473" max="9473" width="1.85546875" style="244" customWidth="1"/>
    <col min="9474" max="9474" width="3.85546875" style="244" customWidth="1"/>
    <col min="9475" max="9475" width="3.5703125" style="244" customWidth="1"/>
    <col min="9476" max="9476" width="4.5703125" style="244" customWidth="1"/>
    <col min="9477" max="9477" width="2.7109375" style="244" customWidth="1"/>
    <col min="9478" max="9478" width="3.85546875" style="244" customWidth="1"/>
    <col min="9479" max="9479" width="2.85546875" style="244" customWidth="1"/>
    <col min="9480" max="9480" width="4.28515625" style="244" customWidth="1"/>
    <col min="9481" max="9481" width="2.7109375" style="244" customWidth="1"/>
    <col min="9482" max="9482" width="18" style="244" customWidth="1"/>
    <col min="9483" max="9483" width="5.7109375" style="244" customWidth="1"/>
    <col min="9484" max="9484" width="7.42578125" style="244" customWidth="1"/>
    <col min="9485" max="9485" width="2.5703125" style="244" customWidth="1"/>
    <col min="9486" max="9486" width="8.5703125" style="244" customWidth="1"/>
    <col min="9487" max="9487" width="11" style="244" customWidth="1"/>
    <col min="9488" max="9488" width="11.7109375" style="244" customWidth="1"/>
    <col min="9489" max="9489" width="16.140625" style="244" customWidth="1"/>
    <col min="9490" max="9490" width="10.42578125" style="244" customWidth="1"/>
    <col min="9491" max="9491" width="11.42578125" style="244" customWidth="1"/>
    <col min="9492" max="9492" width="18.140625" style="244" customWidth="1"/>
    <col min="9493" max="9501" width="1.28515625" style="244" customWidth="1"/>
    <col min="9502" max="9544" width="1.85546875" style="244" customWidth="1"/>
    <col min="9545" max="9723" width="7.28515625" style="244" customWidth="1"/>
    <col min="9724" max="9728" width="6.85546875" style="244"/>
    <col min="9729" max="9729" width="1.85546875" style="244" customWidth="1"/>
    <col min="9730" max="9730" width="3.85546875" style="244" customWidth="1"/>
    <col min="9731" max="9731" width="3.5703125" style="244" customWidth="1"/>
    <col min="9732" max="9732" width="4.5703125" style="244" customWidth="1"/>
    <col min="9733" max="9733" width="2.7109375" style="244" customWidth="1"/>
    <col min="9734" max="9734" width="3.85546875" style="244" customWidth="1"/>
    <col min="9735" max="9735" width="2.85546875" style="244" customWidth="1"/>
    <col min="9736" max="9736" width="4.28515625" style="244" customWidth="1"/>
    <col min="9737" max="9737" width="2.7109375" style="244" customWidth="1"/>
    <col min="9738" max="9738" width="18" style="244" customWidth="1"/>
    <col min="9739" max="9739" width="5.7109375" style="244" customWidth="1"/>
    <col min="9740" max="9740" width="7.42578125" style="244" customWidth="1"/>
    <col min="9741" max="9741" width="2.5703125" style="244" customWidth="1"/>
    <col min="9742" max="9742" width="8.5703125" style="244" customWidth="1"/>
    <col min="9743" max="9743" width="11" style="244" customWidth="1"/>
    <col min="9744" max="9744" width="11.7109375" style="244" customWidth="1"/>
    <col min="9745" max="9745" width="16.140625" style="244" customWidth="1"/>
    <col min="9746" max="9746" width="10.42578125" style="244" customWidth="1"/>
    <col min="9747" max="9747" width="11.42578125" style="244" customWidth="1"/>
    <col min="9748" max="9748" width="18.140625" style="244" customWidth="1"/>
    <col min="9749" max="9757" width="1.28515625" style="244" customWidth="1"/>
    <col min="9758" max="9800" width="1.85546875" style="244" customWidth="1"/>
    <col min="9801" max="9979" width="7.28515625" style="244" customWidth="1"/>
    <col min="9980" max="9984" width="6.85546875" style="244"/>
    <col min="9985" max="9985" width="1.85546875" style="244" customWidth="1"/>
    <col min="9986" max="9986" width="3.85546875" style="244" customWidth="1"/>
    <col min="9987" max="9987" width="3.5703125" style="244" customWidth="1"/>
    <col min="9988" max="9988" width="4.5703125" style="244" customWidth="1"/>
    <col min="9989" max="9989" width="2.7109375" style="244" customWidth="1"/>
    <col min="9990" max="9990" width="3.85546875" style="244" customWidth="1"/>
    <col min="9991" max="9991" width="2.85546875" style="244" customWidth="1"/>
    <col min="9992" max="9992" width="4.28515625" style="244" customWidth="1"/>
    <col min="9993" max="9993" width="2.7109375" style="244" customWidth="1"/>
    <col min="9994" max="9994" width="18" style="244" customWidth="1"/>
    <col min="9995" max="9995" width="5.7109375" style="244" customWidth="1"/>
    <col min="9996" max="9996" width="7.42578125" style="244" customWidth="1"/>
    <col min="9997" max="9997" width="2.5703125" style="244" customWidth="1"/>
    <col min="9998" max="9998" width="8.5703125" style="244" customWidth="1"/>
    <col min="9999" max="9999" width="11" style="244" customWidth="1"/>
    <col min="10000" max="10000" width="11.7109375" style="244" customWidth="1"/>
    <col min="10001" max="10001" width="16.140625" style="244" customWidth="1"/>
    <col min="10002" max="10002" width="10.42578125" style="244" customWidth="1"/>
    <col min="10003" max="10003" width="11.42578125" style="244" customWidth="1"/>
    <col min="10004" max="10004" width="18.140625" style="244" customWidth="1"/>
    <col min="10005" max="10013" width="1.28515625" style="244" customWidth="1"/>
    <col min="10014" max="10056" width="1.85546875" style="244" customWidth="1"/>
    <col min="10057" max="10235" width="7.28515625" style="244" customWidth="1"/>
    <col min="10236" max="10240" width="6.85546875" style="244"/>
    <col min="10241" max="10241" width="1.85546875" style="244" customWidth="1"/>
    <col min="10242" max="10242" width="3.85546875" style="244" customWidth="1"/>
    <col min="10243" max="10243" width="3.5703125" style="244" customWidth="1"/>
    <col min="10244" max="10244" width="4.5703125" style="244" customWidth="1"/>
    <col min="10245" max="10245" width="2.7109375" style="244" customWidth="1"/>
    <col min="10246" max="10246" width="3.85546875" style="244" customWidth="1"/>
    <col min="10247" max="10247" width="2.85546875" style="244" customWidth="1"/>
    <col min="10248" max="10248" width="4.28515625" style="244" customWidth="1"/>
    <col min="10249" max="10249" width="2.7109375" style="244" customWidth="1"/>
    <col min="10250" max="10250" width="18" style="244" customWidth="1"/>
    <col min="10251" max="10251" width="5.7109375" style="244" customWidth="1"/>
    <col min="10252" max="10252" width="7.42578125" style="244" customWidth="1"/>
    <col min="10253" max="10253" width="2.5703125" style="244" customWidth="1"/>
    <col min="10254" max="10254" width="8.5703125" style="244" customWidth="1"/>
    <col min="10255" max="10255" width="11" style="244" customWidth="1"/>
    <col min="10256" max="10256" width="11.7109375" style="244" customWidth="1"/>
    <col min="10257" max="10257" width="16.140625" style="244" customWidth="1"/>
    <col min="10258" max="10258" width="10.42578125" style="244" customWidth="1"/>
    <col min="10259" max="10259" width="11.42578125" style="244" customWidth="1"/>
    <col min="10260" max="10260" width="18.140625" style="244" customWidth="1"/>
    <col min="10261" max="10269" width="1.28515625" style="244" customWidth="1"/>
    <col min="10270" max="10312" width="1.85546875" style="244" customWidth="1"/>
    <col min="10313" max="10491" width="7.28515625" style="244" customWidth="1"/>
    <col min="10492" max="10496" width="6.85546875" style="244"/>
    <col min="10497" max="10497" width="1.85546875" style="244" customWidth="1"/>
    <col min="10498" max="10498" width="3.85546875" style="244" customWidth="1"/>
    <col min="10499" max="10499" width="3.5703125" style="244" customWidth="1"/>
    <col min="10500" max="10500" width="4.5703125" style="244" customWidth="1"/>
    <col min="10501" max="10501" width="2.7109375" style="244" customWidth="1"/>
    <col min="10502" max="10502" width="3.85546875" style="244" customWidth="1"/>
    <col min="10503" max="10503" width="2.85546875" style="244" customWidth="1"/>
    <col min="10504" max="10504" width="4.28515625" style="244" customWidth="1"/>
    <col min="10505" max="10505" width="2.7109375" style="244" customWidth="1"/>
    <col min="10506" max="10506" width="18" style="244" customWidth="1"/>
    <col min="10507" max="10507" width="5.7109375" style="244" customWidth="1"/>
    <col min="10508" max="10508" width="7.42578125" style="244" customWidth="1"/>
    <col min="10509" max="10509" width="2.5703125" style="244" customWidth="1"/>
    <col min="10510" max="10510" width="8.5703125" style="244" customWidth="1"/>
    <col min="10511" max="10511" width="11" style="244" customWidth="1"/>
    <col min="10512" max="10512" width="11.7109375" style="244" customWidth="1"/>
    <col min="10513" max="10513" width="16.140625" style="244" customWidth="1"/>
    <col min="10514" max="10514" width="10.42578125" style="244" customWidth="1"/>
    <col min="10515" max="10515" width="11.42578125" style="244" customWidth="1"/>
    <col min="10516" max="10516" width="18.140625" style="244" customWidth="1"/>
    <col min="10517" max="10525" width="1.28515625" style="244" customWidth="1"/>
    <col min="10526" max="10568" width="1.85546875" style="244" customWidth="1"/>
    <col min="10569" max="10747" width="7.28515625" style="244" customWidth="1"/>
    <col min="10748" max="10752" width="6.85546875" style="244"/>
    <col min="10753" max="10753" width="1.85546875" style="244" customWidth="1"/>
    <col min="10754" max="10754" width="3.85546875" style="244" customWidth="1"/>
    <col min="10755" max="10755" width="3.5703125" style="244" customWidth="1"/>
    <col min="10756" max="10756" width="4.5703125" style="244" customWidth="1"/>
    <col min="10757" max="10757" width="2.7109375" style="244" customWidth="1"/>
    <col min="10758" max="10758" width="3.85546875" style="244" customWidth="1"/>
    <col min="10759" max="10759" width="2.85546875" style="244" customWidth="1"/>
    <col min="10760" max="10760" width="4.28515625" style="244" customWidth="1"/>
    <col min="10761" max="10761" width="2.7109375" style="244" customWidth="1"/>
    <col min="10762" max="10762" width="18" style="244" customWidth="1"/>
    <col min="10763" max="10763" width="5.7109375" style="244" customWidth="1"/>
    <col min="10764" max="10764" width="7.42578125" style="244" customWidth="1"/>
    <col min="10765" max="10765" width="2.5703125" style="244" customWidth="1"/>
    <col min="10766" max="10766" width="8.5703125" style="244" customWidth="1"/>
    <col min="10767" max="10767" width="11" style="244" customWidth="1"/>
    <col min="10768" max="10768" width="11.7109375" style="244" customWidth="1"/>
    <col min="10769" max="10769" width="16.140625" style="244" customWidth="1"/>
    <col min="10770" max="10770" width="10.42578125" style="244" customWidth="1"/>
    <col min="10771" max="10771" width="11.42578125" style="244" customWidth="1"/>
    <col min="10772" max="10772" width="18.140625" style="244" customWidth="1"/>
    <col min="10773" max="10781" width="1.28515625" style="244" customWidth="1"/>
    <col min="10782" max="10824" width="1.85546875" style="244" customWidth="1"/>
    <col min="10825" max="11003" width="7.28515625" style="244" customWidth="1"/>
    <col min="11004" max="11008" width="6.85546875" style="244"/>
    <col min="11009" max="11009" width="1.85546875" style="244" customWidth="1"/>
    <col min="11010" max="11010" width="3.85546875" style="244" customWidth="1"/>
    <col min="11011" max="11011" width="3.5703125" style="244" customWidth="1"/>
    <col min="11012" max="11012" width="4.5703125" style="244" customWidth="1"/>
    <col min="11013" max="11013" width="2.7109375" style="244" customWidth="1"/>
    <col min="11014" max="11014" width="3.85546875" style="244" customWidth="1"/>
    <col min="11015" max="11015" width="2.85546875" style="244" customWidth="1"/>
    <col min="11016" max="11016" width="4.28515625" style="244" customWidth="1"/>
    <col min="11017" max="11017" width="2.7109375" style="244" customWidth="1"/>
    <col min="11018" max="11018" width="18" style="244" customWidth="1"/>
    <col min="11019" max="11019" width="5.7109375" style="244" customWidth="1"/>
    <col min="11020" max="11020" width="7.42578125" style="244" customWidth="1"/>
    <col min="11021" max="11021" width="2.5703125" style="244" customWidth="1"/>
    <col min="11022" max="11022" width="8.5703125" style="244" customWidth="1"/>
    <col min="11023" max="11023" width="11" style="244" customWidth="1"/>
    <col min="11024" max="11024" width="11.7109375" style="244" customWidth="1"/>
    <col min="11025" max="11025" width="16.140625" style="244" customWidth="1"/>
    <col min="11026" max="11026" width="10.42578125" style="244" customWidth="1"/>
    <col min="11027" max="11027" width="11.42578125" style="244" customWidth="1"/>
    <col min="11028" max="11028" width="18.140625" style="244" customWidth="1"/>
    <col min="11029" max="11037" width="1.28515625" style="244" customWidth="1"/>
    <col min="11038" max="11080" width="1.85546875" style="244" customWidth="1"/>
    <col min="11081" max="11259" width="7.28515625" style="244" customWidth="1"/>
    <col min="11260" max="11264" width="6.85546875" style="244"/>
    <col min="11265" max="11265" width="1.85546875" style="244" customWidth="1"/>
    <col min="11266" max="11266" width="3.85546875" style="244" customWidth="1"/>
    <col min="11267" max="11267" width="3.5703125" style="244" customWidth="1"/>
    <col min="11268" max="11268" width="4.5703125" style="244" customWidth="1"/>
    <col min="11269" max="11269" width="2.7109375" style="244" customWidth="1"/>
    <col min="11270" max="11270" width="3.85546875" style="244" customWidth="1"/>
    <col min="11271" max="11271" width="2.85546875" style="244" customWidth="1"/>
    <col min="11272" max="11272" width="4.28515625" style="244" customWidth="1"/>
    <col min="11273" max="11273" width="2.7109375" style="244" customWidth="1"/>
    <col min="11274" max="11274" width="18" style="244" customWidth="1"/>
    <col min="11275" max="11275" width="5.7109375" style="244" customWidth="1"/>
    <col min="11276" max="11276" width="7.42578125" style="244" customWidth="1"/>
    <col min="11277" max="11277" width="2.5703125" style="244" customWidth="1"/>
    <col min="11278" max="11278" width="8.5703125" style="244" customWidth="1"/>
    <col min="11279" max="11279" width="11" style="244" customWidth="1"/>
    <col min="11280" max="11280" width="11.7109375" style="244" customWidth="1"/>
    <col min="11281" max="11281" width="16.140625" style="244" customWidth="1"/>
    <col min="11282" max="11282" width="10.42578125" style="244" customWidth="1"/>
    <col min="11283" max="11283" width="11.42578125" style="244" customWidth="1"/>
    <col min="11284" max="11284" width="18.140625" style="244" customWidth="1"/>
    <col min="11285" max="11293" width="1.28515625" style="244" customWidth="1"/>
    <col min="11294" max="11336" width="1.85546875" style="244" customWidth="1"/>
    <col min="11337" max="11515" width="7.28515625" style="244" customWidth="1"/>
    <col min="11516" max="11520" width="6.85546875" style="244"/>
    <col min="11521" max="11521" width="1.85546875" style="244" customWidth="1"/>
    <col min="11522" max="11522" width="3.85546875" style="244" customWidth="1"/>
    <col min="11523" max="11523" width="3.5703125" style="244" customWidth="1"/>
    <col min="11524" max="11524" width="4.5703125" style="244" customWidth="1"/>
    <col min="11525" max="11525" width="2.7109375" style="244" customWidth="1"/>
    <col min="11526" max="11526" width="3.85546875" style="244" customWidth="1"/>
    <col min="11527" max="11527" width="2.85546875" style="244" customWidth="1"/>
    <col min="11528" max="11528" width="4.28515625" style="244" customWidth="1"/>
    <col min="11529" max="11529" width="2.7109375" style="244" customWidth="1"/>
    <col min="11530" max="11530" width="18" style="244" customWidth="1"/>
    <col min="11531" max="11531" width="5.7109375" style="244" customWidth="1"/>
    <col min="11532" max="11532" width="7.42578125" style="244" customWidth="1"/>
    <col min="11533" max="11533" width="2.5703125" style="244" customWidth="1"/>
    <col min="11534" max="11534" width="8.5703125" style="244" customWidth="1"/>
    <col min="11535" max="11535" width="11" style="244" customWidth="1"/>
    <col min="11536" max="11536" width="11.7109375" style="244" customWidth="1"/>
    <col min="11537" max="11537" width="16.140625" style="244" customWidth="1"/>
    <col min="11538" max="11538" width="10.42578125" style="244" customWidth="1"/>
    <col min="11539" max="11539" width="11.42578125" style="244" customWidth="1"/>
    <col min="11540" max="11540" width="18.140625" style="244" customWidth="1"/>
    <col min="11541" max="11549" width="1.28515625" style="244" customWidth="1"/>
    <col min="11550" max="11592" width="1.85546875" style="244" customWidth="1"/>
    <col min="11593" max="11771" width="7.28515625" style="244" customWidth="1"/>
    <col min="11772" max="11776" width="6.85546875" style="244"/>
    <col min="11777" max="11777" width="1.85546875" style="244" customWidth="1"/>
    <col min="11778" max="11778" width="3.85546875" style="244" customWidth="1"/>
    <col min="11779" max="11779" width="3.5703125" style="244" customWidth="1"/>
    <col min="11780" max="11780" width="4.5703125" style="244" customWidth="1"/>
    <col min="11781" max="11781" width="2.7109375" style="244" customWidth="1"/>
    <col min="11782" max="11782" width="3.85546875" style="244" customWidth="1"/>
    <col min="11783" max="11783" width="2.85546875" style="244" customWidth="1"/>
    <col min="11784" max="11784" width="4.28515625" style="244" customWidth="1"/>
    <col min="11785" max="11785" width="2.7109375" style="244" customWidth="1"/>
    <col min="11786" max="11786" width="18" style="244" customWidth="1"/>
    <col min="11787" max="11787" width="5.7109375" style="244" customWidth="1"/>
    <col min="11788" max="11788" width="7.42578125" style="244" customWidth="1"/>
    <col min="11789" max="11789" width="2.5703125" style="244" customWidth="1"/>
    <col min="11790" max="11790" width="8.5703125" style="244" customWidth="1"/>
    <col min="11791" max="11791" width="11" style="244" customWidth="1"/>
    <col min="11792" max="11792" width="11.7109375" style="244" customWidth="1"/>
    <col min="11793" max="11793" width="16.140625" style="244" customWidth="1"/>
    <col min="11794" max="11794" width="10.42578125" style="244" customWidth="1"/>
    <col min="11795" max="11795" width="11.42578125" style="244" customWidth="1"/>
    <col min="11796" max="11796" width="18.140625" style="244" customWidth="1"/>
    <col min="11797" max="11805" width="1.28515625" style="244" customWidth="1"/>
    <col min="11806" max="11848" width="1.85546875" style="244" customWidth="1"/>
    <col min="11849" max="12027" width="7.28515625" style="244" customWidth="1"/>
    <col min="12028" max="12032" width="6.85546875" style="244"/>
    <col min="12033" max="12033" width="1.85546875" style="244" customWidth="1"/>
    <col min="12034" max="12034" width="3.85546875" style="244" customWidth="1"/>
    <col min="12035" max="12035" width="3.5703125" style="244" customWidth="1"/>
    <col min="12036" max="12036" width="4.5703125" style="244" customWidth="1"/>
    <col min="12037" max="12037" width="2.7109375" style="244" customWidth="1"/>
    <col min="12038" max="12038" width="3.85546875" style="244" customWidth="1"/>
    <col min="12039" max="12039" width="2.85546875" style="244" customWidth="1"/>
    <col min="12040" max="12040" width="4.28515625" style="244" customWidth="1"/>
    <col min="12041" max="12041" width="2.7109375" style="244" customWidth="1"/>
    <col min="12042" max="12042" width="18" style="244" customWidth="1"/>
    <col min="12043" max="12043" width="5.7109375" style="244" customWidth="1"/>
    <col min="12044" max="12044" width="7.42578125" style="244" customWidth="1"/>
    <col min="12045" max="12045" width="2.5703125" style="244" customWidth="1"/>
    <col min="12046" max="12046" width="8.5703125" style="244" customWidth="1"/>
    <col min="12047" max="12047" width="11" style="244" customWidth="1"/>
    <col min="12048" max="12048" width="11.7109375" style="244" customWidth="1"/>
    <col min="12049" max="12049" width="16.140625" style="244" customWidth="1"/>
    <col min="12050" max="12050" width="10.42578125" style="244" customWidth="1"/>
    <col min="12051" max="12051" width="11.42578125" style="244" customWidth="1"/>
    <col min="12052" max="12052" width="18.140625" style="244" customWidth="1"/>
    <col min="12053" max="12061" width="1.28515625" style="244" customWidth="1"/>
    <col min="12062" max="12104" width="1.85546875" style="244" customWidth="1"/>
    <col min="12105" max="12283" width="7.28515625" style="244" customWidth="1"/>
    <col min="12284" max="12288" width="6.85546875" style="244"/>
    <col min="12289" max="12289" width="1.85546875" style="244" customWidth="1"/>
    <col min="12290" max="12290" width="3.85546875" style="244" customWidth="1"/>
    <col min="12291" max="12291" width="3.5703125" style="244" customWidth="1"/>
    <col min="12292" max="12292" width="4.5703125" style="244" customWidth="1"/>
    <col min="12293" max="12293" width="2.7109375" style="244" customWidth="1"/>
    <col min="12294" max="12294" width="3.85546875" style="244" customWidth="1"/>
    <col min="12295" max="12295" width="2.85546875" style="244" customWidth="1"/>
    <col min="12296" max="12296" width="4.28515625" style="244" customWidth="1"/>
    <col min="12297" max="12297" width="2.7109375" style="244" customWidth="1"/>
    <col min="12298" max="12298" width="18" style="244" customWidth="1"/>
    <col min="12299" max="12299" width="5.7109375" style="244" customWidth="1"/>
    <col min="12300" max="12300" width="7.42578125" style="244" customWidth="1"/>
    <col min="12301" max="12301" width="2.5703125" style="244" customWidth="1"/>
    <col min="12302" max="12302" width="8.5703125" style="244" customWidth="1"/>
    <col min="12303" max="12303" width="11" style="244" customWidth="1"/>
    <col min="12304" max="12304" width="11.7109375" style="244" customWidth="1"/>
    <col min="12305" max="12305" width="16.140625" style="244" customWidth="1"/>
    <col min="12306" max="12306" width="10.42578125" style="244" customWidth="1"/>
    <col min="12307" max="12307" width="11.42578125" style="244" customWidth="1"/>
    <col min="12308" max="12308" width="18.140625" style="244" customWidth="1"/>
    <col min="12309" max="12317" width="1.28515625" style="244" customWidth="1"/>
    <col min="12318" max="12360" width="1.85546875" style="244" customWidth="1"/>
    <col min="12361" max="12539" width="7.28515625" style="244" customWidth="1"/>
    <col min="12540" max="12544" width="6.85546875" style="244"/>
    <col min="12545" max="12545" width="1.85546875" style="244" customWidth="1"/>
    <col min="12546" max="12546" width="3.85546875" style="244" customWidth="1"/>
    <col min="12547" max="12547" width="3.5703125" style="244" customWidth="1"/>
    <col min="12548" max="12548" width="4.5703125" style="244" customWidth="1"/>
    <col min="12549" max="12549" width="2.7109375" style="244" customWidth="1"/>
    <col min="12550" max="12550" width="3.85546875" style="244" customWidth="1"/>
    <col min="12551" max="12551" width="2.85546875" style="244" customWidth="1"/>
    <col min="12552" max="12552" width="4.28515625" style="244" customWidth="1"/>
    <col min="12553" max="12553" width="2.7109375" style="244" customWidth="1"/>
    <col min="12554" max="12554" width="18" style="244" customWidth="1"/>
    <col min="12555" max="12555" width="5.7109375" style="244" customWidth="1"/>
    <col min="12556" max="12556" width="7.42578125" style="244" customWidth="1"/>
    <col min="12557" max="12557" width="2.5703125" style="244" customWidth="1"/>
    <col min="12558" max="12558" width="8.5703125" style="244" customWidth="1"/>
    <col min="12559" max="12559" width="11" style="244" customWidth="1"/>
    <col min="12560" max="12560" width="11.7109375" style="244" customWidth="1"/>
    <col min="12561" max="12561" width="16.140625" style="244" customWidth="1"/>
    <col min="12562" max="12562" width="10.42578125" style="244" customWidth="1"/>
    <col min="12563" max="12563" width="11.42578125" style="244" customWidth="1"/>
    <col min="12564" max="12564" width="18.140625" style="244" customWidth="1"/>
    <col min="12565" max="12573" width="1.28515625" style="244" customWidth="1"/>
    <col min="12574" max="12616" width="1.85546875" style="244" customWidth="1"/>
    <col min="12617" max="12795" width="7.28515625" style="244" customWidth="1"/>
    <col min="12796" max="12800" width="6.85546875" style="244"/>
    <col min="12801" max="12801" width="1.85546875" style="244" customWidth="1"/>
    <col min="12802" max="12802" width="3.85546875" style="244" customWidth="1"/>
    <col min="12803" max="12803" width="3.5703125" style="244" customWidth="1"/>
    <col min="12804" max="12804" width="4.5703125" style="244" customWidth="1"/>
    <col min="12805" max="12805" width="2.7109375" style="244" customWidth="1"/>
    <col min="12806" max="12806" width="3.85546875" style="244" customWidth="1"/>
    <col min="12807" max="12807" width="2.85546875" style="244" customWidth="1"/>
    <col min="12808" max="12808" width="4.28515625" style="244" customWidth="1"/>
    <col min="12809" max="12809" width="2.7109375" style="244" customWidth="1"/>
    <col min="12810" max="12810" width="18" style="244" customWidth="1"/>
    <col min="12811" max="12811" width="5.7109375" style="244" customWidth="1"/>
    <col min="12812" max="12812" width="7.42578125" style="244" customWidth="1"/>
    <col min="12813" max="12813" width="2.5703125" style="244" customWidth="1"/>
    <col min="12814" max="12814" width="8.5703125" style="244" customWidth="1"/>
    <col min="12815" max="12815" width="11" style="244" customWidth="1"/>
    <col min="12816" max="12816" width="11.7109375" style="244" customWidth="1"/>
    <col min="12817" max="12817" width="16.140625" style="244" customWidth="1"/>
    <col min="12818" max="12818" width="10.42578125" style="244" customWidth="1"/>
    <col min="12819" max="12819" width="11.42578125" style="244" customWidth="1"/>
    <col min="12820" max="12820" width="18.140625" style="244" customWidth="1"/>
    <col min="12821" max="12829" width="1.28515625" style="244" customWidth="1"/>
    <col min="12830" max="12872" width="1.85546875" style="244" customWidth="1"/>
    <col min="12873" max="13051" width="7.28515625" style="244" customWidth="1"/>
    <col min="13052" max="13056" width="6.85546875" style="244"/>
    <col min="13057" max="13057" width="1.85546875" style="244" customWidth="1"/>
    <col min="13058" max="13058" width="3.85546875" style="244" customWidth="1"/>
    <col min="13059" max="13059" width="3.5703125" style="244" customWidth="1"/>
    <col min="13060" max="13060" width="4.5703125" style="244" customWidth="1"/>
    <col min="13061" max="13061" width="2.7109375" style="244" customWidth="1"/>
    <col min="13062" max="13062" width="3.85546875" style="244" customWidth="1"/>
    <col min="13063" max="13063" width="2.85546875" style="244" customWidth="1"/>
    <col min="13064" max="13064" width="4.28515625" style="244" customWidth="1"/>
    <col min="13065" max="13065" width="2.7109375" style="244" customWidth="1"/>
    <col min="13066" max="13066" width="18" style="244" customWidth="1"/>
    <col min="13067" max="13067" width="5.7109375" style="244" customWidth="1"/>
    <col min="13068" max="13068" width="7.42578125" style="244" customWidth="1"/>
    <col min="13069" max="13069" width="2.5703125" style="244" customWidth="1"/>
    <col min="13070" max="13070" width="8.5703125" style="244" customWidth="1"/>
    <col min="13071" max="13071" width="11" style="244" customWidth="1"/>
    <col min="13072" max="13072" width="11.7109375" style="244" customWidth="1"/>
    <col min="13073" max="13073" width="16.140625" style="244" customWidth="1"/>
    <col min="13074" max="13074" width="10.42578125" style="244" customWidth="1"/>
    <col min="13075" max="13075" width="11.42578125" style="244" customWidth="1"/>
    <col min="13076" max="13076" width="18.140625" style="244" customWidth="1"/>
    <col min="13077" max="13085" width="1.28515625" style="244" customWidth="1"/>
    <col min="13086" max="13128" width="1.85546875" style="244" customWidth="1"/>
    <col min="13129" max="13307" width="7.28515625" style="244" customWidth="1"/>
    <col min="13308" max="13312" width="6.85546875" style="244"/>
    <col min="13313" max="13313" width="1.85546875" style="244" customWidth="1"/>
    <col min="13314" max="13314" width="3.85546875" style="244" customWidth="1"/>
    <col min="13315" max="13315" width="3.5703125" style="244" customWidth="1"/>
    <col min="13316" max="13316" width="4.5703125" style="244" customWidth="1"/>
    <col min="13317" max="13317" width="2.7109375" style="244" customWidth="1"/>
    <col min="13318" max="13318" width="3.85546875" style="244" customWidth="1"/>
    <col min="13319" max="13319" width="2.85546875" style="244" customWidth="1"/>
    <col min="13320" max="13320" width="4.28515625" style="244" customWidth="1"/>
    <col min="13321" max="13321" width="2.7109375" style="244" customWidth="1"/>
    <col min="13322" max="13322" width="18" style="244" customWidth="1"/>
    <col min="13323" max="13323" width="5.7109375" style="244" customWidth="1"/>
    <col min="13324" max="13324" width="7.42578125" style="244" customWidth="1"/>
    <col min="13325" max="13325" width="2.5703125" style="244" customWidth="1"/>
    <col min="13326" max="13326" width="8.5703125" style="244" customWidth="1"/>
    <col min="13327" max="13327" width="11" style="244" customWidth="1"/>
    <col min="13328" max="13328" width="11.7109375" style="244" customWidth="1"/>
    <col min="13329" max="13329" width="16.140625" style="244" customWidth="1"/>
    <col min="13330" max="13330" width="10.42578125" style="244" customWidth="1"/>
    <col min="13331" max="13331" width="11.42578125" style="244" customWidth="1"/>
    <col min="13332" max="13332" width="18.140625" style="244" customWidth="1"/>
    <col min="13333" max="13341" width="1.28515625" style="244" customWidth="1"/>
    <col min="13342" max="13384" width="1.85546875" style="244" customWidth="1"/>
    <col min="13385" max="13563" width="7.28515625" style="244" customWidth="1"/>
    <col min="13564" max="13568" width="6.85546875" style="244"/>
    <col min="13569" max="13569" width="1.85546875" style="244" customWidth="1"/>
    <col min="13570" max="13570" width="3.85546875" style="244" customWidth="1"/>
    <col min="13571" max="13571" width="3.5703125" style="244" customWidth="1"/>
    <col min="13572" max="13572" width="4.5703125" style="244" customWidth="1"/>
    <col min="13573" max="13573" width="2.7109375" style="244" customWidth="1"/>
    <col min="13574" max="13574" width="3.85546875" style="244" customWidth="1"/>
    <col min="13575" max="13575" width="2.85546875" style="244" customWidth="1"/>
    <col min="13576" max="13576" width="4.28515625" style="244" customWidth="1"/>
    <col min="13577" max="13577" width="2.7109375" style="244" customWidth="1"/>
    <col min="13578" max="13578" width="18" style="244" customWidth="1"/>
    <col min="13579" max="13579" width="5.7109375" style="244" customWidth="1"/>
    <col min="13580" max="13580" width="7.42578125" style="244" customWidth="1"/>
    <col min="13581" max="13581" width="2.5703125" style="244" customWidth="1"/>
    <col min="13582" max="13582" width="8.5703125" style="244" customWidth="1"/>
    <col min="13583" max="13583" width="11" style="244" customWidth="1"/>
    <col min="13584" max="13584" width="11.7109375" style="244" customWidth="1"/>
    <col min="13585" max="13585" width="16.140625" style="244" customWidth="1"/>
    <col min="13586" max="13586" width="10.42578125" style="244" customWidth="1"/>
    <col min="13587" max="13587" width="11.42578125" style="244" customWidth="1"/>
    <col min="13588" max="13588" width="18.140625" style="244" customWidth="1"/>
    <col min="13589" max="13597" width="1.28515625" style="244" customWidth="1"/>
    <col min="13598" max="13640" width="1.85546875" style="244" customWidth="1"/>
    <col min="13641" max="13819" width="7.28515625" style="244" customWidth="1"/>
    <col min="13820" max="13824" width="6.85546875" style="244"/>
    <col min="13825" max="13825" width="1.85546875" style="244" customWidth="1"/>
    <col min="13826" max="13826" width="3.85546875" style="244" customWidth="1"/>
    <col min="13827" max="13827" width="3.5703125" style="244" customWidth="1"/>
    <col min="13828" max="13828" width="4.5703125" style="244" customWidth="1"/>
    <col min="13829" max="13829" width="2.7109375" style="244" customWidth="1"/>
    <col min="13830" max="13830" width="3.85546875" style="244" customWidth="1"/>
    <col min="13831" max="13831" width="2.85546875" style="244" customWidth="1"/>
    <col min="13832" max="13832" width="4.28515625" style="244" customWidth="1"/>
    <col min="13833" max="13833" width="2.7109375" style="244" customWidth="1"/>
    <col min="13834" max="13834" width="18" style="244" customWidth="1"/>
    <col min="13835" max="13835" width="5.7109375" style="244" customWidth="1"/>
    <col min="13836" max="13836" width="7.42578125" style="244" customWidth="1"/>
    <col min="13837" max="13837" width="2.5703125" style="244" customWidth="1"/>
    <col min="13838" max="13838" width="8.5703125" style="244" customWidth="1"/>
    <col min="13839" max="13839" width="11" style="244" customWidth="1"/>
    <col min="13840" max="13840" width="11.7109375" style="244" customWidth="1"/>
    <col min="13841" max="13841" width="16.140625" style="244" customWidth="1"/>
    <col min="13842" max="13842" width="10.42578125" style="244" customWidth="1"/>
    <col min="13843" max="13843" width="11.42578125" style="244" customWidth="1"/>
    <col min="13844" max="13844" width="18.140625" style="244" customWidth="1"/>
    <col min="13845" max="13853" width="1.28515625" style="244" customWidth="1"/>
    <col min="13854" max="13896" width="1.85546875" style="244" customWidth="1"/>
    <col min="13897" max="14075" width="7.28515625" style="244" customWidth="1"/>
    <col min="14076" max="14080" width="6.85546875" style="244"/>
    <col min="14081" max="14081" width="1.85546875" style="244" customWidth="1"/>
    <col min="14082" max="14082" width="3.85546875" style="244" customWidth="1"/>
    <col min="14083" max="14083" width="3.5703125" style="244" customWidth="1"/>
    <col min="14084" max="14084" width="4.5703125" style="244" customWidth="1"/>
    <col min="14085" max="14085" width="2.7109375" style="244" customWidth="1"/>
    <col min="14086" max="14086" width="3.85546875" style="244" customWidth="1"/>
    <col min="14087" max="14087" width="2.85546875" style="244" customWidth="1"/>
    <col min="14088" max="14088" width="4.28515625" style="244" customWidth="1"/>
    <col min="14089" max="14089" width="2.7109375" style="244" customWidth="1"/>
    <col min="14090" max="14090" width="18" style="244" customWidth="1"/>
    <col min="14091" max="14091" width="5.7109375" style="244" customWidth="1"/>
    <col min="14092" max="14092" width="7.42578125" style="244" customWidth="1"/>
    <col min="14093" max="14093" width="2.5703125" style="244" customWidth="1"/>
    <col min="14094" max="14094" width="8.5703125" style="244" customWidth="1"/>
    <col min="14095" max="14095" width="11" style="244" customWidth="1"/>
    <col min="14096" max="14096" width="11.7109375" style="244" customWidth="1"/>
    <col min="14097" max="14097" width="16.140625" style="244" customWidth="1"/>
    <col min="14098" max="14098" width="10.42578125" style="244" customWidth="1"/>
    <col min="14099" max="14099" width="11.42578125" style="244" customWidth="1"/>
    <col min="14100" max="14100" width="18.140625" style="244" customWidth="1"/>
    <col min="14101" max="14109" width="1.28515625" style="244" customWidth="1"/>
    <col min="14110" max="14152" width="1.85546875" style="244" customWidth="1"/>
    <col min="14153" max="14331" width="7.28515625" style="244" customWidth="1"/>
    <col min="14332" max="14336" width="6.85546875" style="244"/>
    <col min="14337" max="14337" width="1.85546875" style="244" customWidth="1"/>
    <col min="14338" max="14338" width="3.85546875" style="244" customWidth="1"/>
    <col min="14339" max="14339" width="3.5703125" style="244" customWidth="1"/>
    <col min="14340" max="14340" width="4.5703125" style="244" customWidth="1"/>
    <col min="14341" max="14341" width="2.7109375" style="244" customWidth="1"/>
    <col min="14342" max="14342" width="3.85546875" style="244" customWidth="1"/>
    <col min="14343" max="14343" width="2.85546875" style="244" customWidth="1"/>
    <col min="14344" max="14344" width="4.28515625" style="244" customWidth="1"/>
    <col min="14345" max="14345" width="2.7109375" style="244" customWidth="1"/>
    <col min="14346" max="14346" width="18" style="244" customWidth="1"/>
    <col min="14347" max="14347" width="5.7109375" style="244" customWidth="1"/>
    <col min="14348" max="14348" width="7.42578125" style="244" customWidth="1"/>
    <col min="14349" max="14349" width="2.5703125" style="244" customWidth="1"/>
    <col min="14350" max="14350" width="8.5703125" style="244" customWidth="1"/>
    <col min="14351" max="14351" width="11" style="244" customWidth="1"/>
    <col min="14352" max="14352" width="11.7109375" style="244" customWidth="1"/>
    <col min="14353" max="14353" width="16.140625" style="244" customWidth="1"/>
    <col min="14354" max="14354" width="10.42578125" style="244" customWidth="1"/>
    <col min="14355" max="14355" width="11.42578125" style="244" customWidth="1"/>
    <col min="14356" max="14356" width="18.140625" style="244" customWidth="1"/>
    <col min="14357" max="14365" width="1.28515625" style="244" customWidth="1"/>
    <col min="14366" max="14408" width="1.85546875" style="244" customWidth="1"/>
    <col min="14409" max="14587" width="7.28515625" style="244" customWidth="1"/>
    <col min="14588" max="14592" width="6.85546875" style="244"/>
    <col min="14593" max="14593" width="1.85546875" style="244" customWidth="1"/>
    <col min="14594" max="14594" width="3.85546875" style="244" customWidth="1"/>
    <col min="14595" max="14595" width="3.5703125" style="244" customWidth="1"/>
    <col min="14596" max="14596" width="4.5703125" style="244" customWidth="1"/>
    <col min="14597" max="14597" width="2.7109375" style="244" customWidth="1"/>
    <col min="14598" max="14598" width="3.85546875" style="244" customWidth="1"/>
    <col min="14599" max="14599" width="2.85546875" style="244" customWidth="1"/>
    <col min="14600" max="14600" width="4.28515625" style="244" customWidth="1"/>
    <col min="14601" max="14601" width="2.7109375" style="244" customWidth="1"/>
    <col min="14602" max="14602" width="18" style="244" customWidth="1"/>
    <col min="14603" max="14603" width="5.7109375" style="244" customWidth="1"/>
    <col min="14604" max="14604" width="7.42578125" style="244" customWidth="1"/>
    <col min="14605" max="14605" width="2.5703125" style="244" customWidth="1"/>
    <col min="14606" max="14606" width="8.5703125" style="244" customWidth="1"/>
    <col min="14607" max="14607" width="11" style="244" customWidth="1"/>
    <col min="14608" max="14608" width="11.7109375" style="244" customWidth="1"/>
    <col min="14609" max="14609" width="16.140625" style="244" customWidth="1"/>
    <col min="14610" max="14610" width="10.42578125" style="244" customWidth="1"/>
    <col min="14611" max="14611" width="11.42578125" style="244" customWidth="1"/>
    <col min="14612" max="14612" width="18.140625" style="244" customWidth="1"/>
    <col min="14613" max="14621" width="1.28515625" style="244" customWidth="1"/>
    <col min="14622" max="14664" width="1.85546875" style="244" customWidth="1"/>
    <col min="14665" max="14843" width="7.28515625" style="244" customWidth="1"/>
    <col min="14844" max="14848" width="6.85546875" style="244"/>
    <col min="14849" max="14849" width="1.85546875" style="244" customWidth="1"/>
    <col min="14850" max="14850" width="3.85546875" style="244" customWidth="1"/>
    <col min="14851" max="14851" width="3.5703125" style="244" customWidth="1"/>
    <col min="14852" max="14852" width="4.5703125" style="244" customWidth="1"/>
    <col min="14853" max="14853" width="2.7109375" style="244" customWidth="1"/>
    <col min="14854" max="14854" width="3.85546875" style="244" customWidth="1"/>
    <col min="14855" max="14855" width="2.85546875" style="244" customWidth="1"/>
    <col min="14856" max="14856" width="4.28515625" style="244" customWidth="1"/>
    <col min="14857" max="14857" width="2.7109375" style="244" customWidth="1"/>
    <col min="14858" max="14858" width="18" style="244" customWidth="1"/>
    <col min="14859" max="14859" width="5.7109375" style="244" customWidth="1"/>
    <col min="14860" max="14860" width="7.42578125" style="244" customWidth="1"/>
    <col min="14861" max="14861" width="2.5703125" style="244" customWidth="1"/>
    <col min="14862" max="14862" width="8.5703125" style="244" customWidth="1"/>
    <col min="14863" max="14863" width="11" style="244" customWidth="1"/>
    <col min="14864" max="14864" width="11.7109375" style="244" customWidth="1"/>
    <col min="14865" max="14865" width="16.140625" style="244" customWidth="1"/>
    <col min="14866" max="14866" width="10.42578125" style="244" customWidth="1"/>
    <col min="14867" max="14867" width="11.42578125" style="244" customWidth="1"/>
    <col min="14868" max="14868" width="18.140625" style="244" customWidth="1"/>
    <col min="14869" max="14877" width="1.28515625" style="244" customWidth="1"/>
    <col min="14878" max="14920" width="1.85546875" style="244" customWidth="1"/>
    <col min="14921" max="15099" width="7.28515625" style="244" customWidth="1"/>
    <col min="15100" max="15104" width="6.85546875" style="244"/>
    <col min="15105" max="15105" width="1.85546875" style="244" customWidth="1"/>
    <col min="15106" max="15106" width="3.85546875" style="244" customWidth="1"/>
    <col min="15107" max="15107" width="3.5703125" style="244" customWidth="1"/>
    <col min="15108" max="15108" width="4.5703125" style="244" customWidth="1"/>
    <col min="15109" max="15109" width="2.7109375" style="244" customWidth="1"/>
    <col min="15110" max="15110" width="3.85546875" style="244" customWidth="1"/>
    <col min="15111" max="15111" width="2.85546875" style="244" customWidth="1"/>
    <col min="15112" max="15112" width="4.28515625" style="244" customWidth="1"/>
    <col min="15113" max="15113" width="2.7109375" style="244" customWidth="1"/>
    <col min="15114" max="15114" width="18" style="244" customWidth="1"/>
    <col min="15115" max="15115" width="5.7109375" style="244" customWidth="1"/>
    <col min="15116" max="15116" width="7.42578125" style="244" customWidth="1"/>
    <col min="15117" max="15117" width="2.5703125" style="244" customWidth="1"/>
    <col min="15118" max="15118" width="8.5703125" style="244" customWidth="1"/>
    <col min="15119" max="15119" width="11" style="244" customWidth="1"/>
    <col min="15120" max="15120" width="11.7109375" style="244" customWidth="1"/>
    <col min="15121" max="15121" width="16.140625" style="244" customWidth="1"/>
    <col min="15122" max="15122" width="10.42578125" style="244" customWidth="1"/>
    <col min="15123" max="15123" width="11.42578125" style="244" customWidth="1"/>
    <col min="15124" max="15124" width="18.140625" style="244" customWidth="1"/>
    <col min="15125" max="15133" width="1.28515625" style="244" customWidth="1"/>
    <col min="15134" max="15176" width="1.85546875" style="244" customWidth="1"/>
    <col min="15177" max="15355" width="7.28515625" style="244" customWidth="1"/>
    <col min="15356" max="15360" width="6.85546875" style="244"/>
    <col min="15361" max="15361" width="1.85546875" style="244" customWidth="1"/>
    <col min="15362" max="15362" width="3.85546875" style="244" customWidth="1"/>
    <col min="15363" max="15363" width="3.5703125" style="244" customWidth="1"/>
    <col min="15364" max="15364" width="4.5703125" style="244" customWidth="1"/>
    <col min="15365" max="15365" width="2.7109375" style="244" customWidth="1"/>
    <col min="15366" max="15366" width="3.85546875" style="244" customWidth="1"/>
    <col min="15367" max="15367" width="2.85546875" style="244" customWidth="1"/>
    <col min="15368" max="15368" width="4.28515625" style="244" customWidth="1"/>
    <col min="15369" max="15369" width="2.7109375" style="244" customWidth="1"/>
    <col min="15370" max="15370" width="18" style="244" customWidth="1"/>
    <col min="15371" max="15371" width="5.7109375" style="244" customWidth="1"/>
    <col min="15372" max="15372" width="7.42578125" style="244" customWidth="1"/>
    <col min="15373" max="15373" width="2.5703125" style="244" customWidth="1"/>
    <col min="15374" max="15374" width="8.5703125" style="244" customWidth="1"/>
    <col min="15375" max="15375" width="11" style="244" customWidth="1"/>
    <col min="15376" max="15376" width="11.7109375" style="244" customWidth="1"/>
    <col min="15377" max="15377" width="16.140625" style="244" customWidth="1"/>
    <col min="15378" max="15378" width="10.42578125" style="244" customWidth="1"/>
    <col min="15379" max="15379" width="11.42578125" style="244" customWidth="1"/>
    <col min="15380" max="15380" width="18.140625" style="244" customWidth="1"/>
    <col min="15381" max="15389" width="1.28515625" style="244" customWidth="1"/>
    <col min="15390" max="15432" width="1.85546875" style="244" customWidth="1"/>
    <col min="15433" max="15611" width="7.28515625" style="244" customWidth="1"/>
    <col min="15612" max="15616" width="6.85546875" style="244"/>
    <col min="15617" max="15617" width="1.85546875" style="244" customWidth="1"/>
    <col min="15618" max="15618" width="3.85546875" style="244" customWidth="1"/>
    <col min="15619" max="15619" width="3.5703125" style="244" customWidth="1"/>
    <col min="15620" max="15620" width="4.5703125" style="244" customWidth="1"/>
    <col min="15621" max="15621" width="2.7109375" style="244" customWidth="1"/>
    <col min="15622" max="15622" width="3.85546875" style="244" customWidth="1"/>
    <col min="15623" max="15623" width="2.85546875" style="244" customWidth="1"/>
    <col min="15624" max="15624" width="4.28515625" style="244" customWidth="1"/>
    <col min="15625" max="15625" width="2.7109375" style="244" customWidth="1"/>
    <col min="15626" max="15626" width="18" style="244" customWidth="1"/>
    <col min="15627" max="15627" width="5.7109375" style="244" customWidth="1"/>
    <col min="15628" max="15628" width="7.42578125" style="244" customWidth="1"/>
    <col min="15629" max="15629" width="2.5703125" style="244" customWidth="1"/>
    <col min="15630" max="15630" width="8.5703125" style="244" customWidth="1"/>
    <col min="15631" max="15631" width="11" style="244" customWidth="1"/>
    <col min="15632" max="15632" width="11.7109375" style="244" customWidth="1"/>
    <col min="15633" max="15633" width="16.140625" style="244" customWidth="1"/>
    <col min="15634" max="15634" width="10.42578125" style="244" customWidth="1"/>
    <col min="15635" max="15635" width="11.42578125" style="244" customWidth="1"/>
    <col min="15636" max="15636" width="18.140625" style="244" customWidth="1"/>
    <col min="15637" max="15645" width="1.28515625" style="244" customWidth="1"/>
    <col min="15646" max="15688" width="1.85546875" style="244" customWidth="1"/>
    <col min="15689" max="15867" width="7.28515625" style="244" customWidth="1"/>
    <col min="15868" max="15872" width="6.85546875" style="244"/>
    <col min="15873" max="15873" width="1.85546875" style="244" customWidth="1"/>
    <col min="15874" max="15874" width="3.85546875" style="244" customWidth="1"/>
    <col min="15875" max="15875" width="3.5703125" style="244" customWidth="1"/>
    <col min="15876" max="15876" width="4.5703125" style="244" customWidth="1"/>
    <col min="15877" max="15877" width="2.7109375" style="244" customWidth="1"/>
    <col min="15878" max="15878" width="3.85546875" style="244" customWidth="1"/>
    <col min="15879" max="15879" width="2.85546875" style="244" customWidth="1"/>
    <col min="15880" max="15880" width="4.28515625" style="244" customWidth="1"/>
    <col min="15881" max="15881" width="2.7109375" style="244" customWidth="1"/>
    <col min="15882" max="15882" width="18" style="244" customWidth="1"/>
    <col min="15883" max="15883" width="5.7109375" style="244" customWidth="1"/>
    <col min="15884" max="15884" width="7.42578125" style="244" customWidth="1"/>
    <col min="15885" max="15885" width="2.5703125" style="244" customWidth="1"/>
    <col min="15886" max="15886" width="8.5703125" style="244" customWidth="1"/>
    <col min="15887" max="15887" width="11" style="244" customWidth="1"/>
    <col min="15888" max="15888" width="11.7109375" style="244" customWidth="1"/>
    <col min="15889" max="15889" width="16.140625" style="244" customWidth="1"/>
    <col min="15890" max="15890" width="10.42578125" style="244" customWidth="1"/>
    <col min="15891" max="15891" width="11.42578125" style="244" customWidth="1"/>
    <col min="15892" max="15892" width="18.140625" style="244" customWidth="1"/>
    <col min="15893" max="15901" width="1.28515625" style="244" customWidth="1"/>
    <col min="15902" max="15944" width="1.85546875" style="244" customWidth="1"/>
    <col min="15945" max="16123" width="7.28515625" style="244" customWidth="1"/>
    <col min="16124" max="16128" width="6.85546875" style="244"/>
    <col min="16129" max="16129" width="1.85546875" style="244" customWidth="1"/>
    <col min="16130" max="16130" width="3.85546875" style="244" customWidth="1"/>
    <col min="16131" max="16131" width="3.5703125" style="244" customWidth="1"/>
    <col min="16132" max="16132" width="4.5703125" style="244" customWidth="1"/>
    <col min="16133" max="16133" width="2.7109375" style="244" customWidth="1"/>
    <col min="16134" max="16134" width="3.85546875" style="244" customWidth="1"/>
    <col min="16135" max="16135" width="2.85546875" style="244" customWidth="1"/>
    <col min="16136" max="16136" width="4.28515625" style="244" customWidth="1"/>
    <col min="16137" max="16137" width="2.7109375" style="244" customWidth="1"/>
    <col min="16138" max="16138" width="18" style="244" customWidth="1"/>
    <col min="16139" max="16139" width="5.7109375" style="244" customWidth="1"/>
    <col min="16140" max="16140" width="7.42578125" style="244" customWidth="1"/>
    <col min="16141" max="16141" width="2.5703125" style="244" customWidth="1"/>
    <col min="16142" max="16142" width="8.5703125" style="244" customWidth="1"/>
    <col min="16143" max="16143" width="11" style="244" customWidth="1"/>
    <col min="16144" max="16144" width="11.7109375" style="244" customWidth="1"/>
    <col min="16145" max="16145" width="16.140625" style="244" customWidth="1"/>
    <col min="16146" max="16146" width="10.42578125" style="244" customWidth="1"/>
    <col min="16147" max="16147" width="11.42578125" style="244" customWidth="1"/>
    <col min="16148" max="16148" width="18.140625" style="244" customWidth="1"/>
    <col min="16149" max="16157" width="1.28515625" style="244" customWidth="1"/>
    <col min="16158" max="16200" width="1.85546875" style="244" customWidth="1"/>
    <col min="16201" max="16379" width="7.28515625" style="244" customWidth="1"/>
    <col min="16380" max="16384" width="6.85546875" style="244"/>
  </cols>
  <sheetData>
    <row r="1" spans="1:72" ht="4.5" customHeight="1" thickBot="1"/>
    <row r="2" spans="1:72" ht="12.75" customHeight="1" thickBot="1">
      <c r="B2" s="859" t="s">
        <v>170</v>
      </c>
      <c r="C2" s="859"/>
      <c r="D2" s="859"/>
      <c r="E2" s="859"/>
      <c r="F2" s="859"/>
      <c r="G2" s="859"/>
      <c r="H2" s="859"/>
      <c r="I2" s="859"/>
      <c r="J2" s="859"/>
      <c r="K2" s="859"/>
      <c r="L2" s="859"/>
      <c r="M2" s="859"/>
      <c r="N2" s="859"/>
      <c r="O2" s="859"/>
      <c r="P2" s="859"/>
      <c r="Q2" s="859"/>
      <c r="R2" s="859"/>
      <c r="S2" s="860"/>
      <c r="T2" s="860"/>
      <c r="U2" s="861" t="s">
        <v>171</v>
      </c>
      <c r="V2" s="861"/>
      <c r="W2" s="861"/>
      <c r="X2" s="861"/>
      <c r="Y2" s="861"/>
      <c r="Z2" s="861"/>
      <c r="AA2" s="861"/>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row>
    <row r="3" spans="1:72" ht="13.5" thickBot="1">
      <c r="B3" s="859"/>
      <c r="C3" s="859"/>
      <c r="D3" s="859"/>
      <c r="E3" s="859"/>
      <c r="F3" s="859"/>
      <c r="G3" s="859"/>
      <c r="H3" s="859"/>
      <c r="I3" s="859"/>
      <c r="J3" s="859"/>
      <c r="K3" s="859"/>
      <c r="L3" s="859"/>
      <c r="M3" s="859"/>
      <c r="N3" s="859"/>
      <c r="O3" s="859"/>
      <c r="P3" s="859"/>
      <c r="Q3" s="859"/>
      <c r="R3" s="859"/>
      <c r="S3" s="860"/>
      <c r="T3" s="860"/>
      <c r="U3" s="861"/>
      <c r="V3" s="861"/>
      <c r="W3" s="861"/>
      <c r="X3" s="861"/>
      <c r="Y3" s="861"/>
      <c r="Z3" s="861"/>
      <c r="AA3" s="861"/>
      <c r="AB3" s="861"/>
      <c r="AC3" s="861"/>
      <c r="AD3" s="861"/>
      <c r="AE3" s="861"/>
      <c r="AF3" s="861"/>
      <c r="AG3" s="861"/>
      <c r="AH3" s="861"/>
      <c r="AI3" s="861"/>
      <c r="AJ3" s="861"/>
      <c r="AK3" s="861"/>
      <c r="AL3" s="861"/>
      <c r="AM3" s="861"/>
      <c r="AN3" s="861"/>
      <c r="AO3" s="861"/>
      <c r="AP3" s="861"/>
      <c r="AQ3" s="861"/>
      <c r="AR3" s="861"/>
      <c r="AS3" s="861"/>
      <c r="AT3" s="861"/>
      <c r="AU3" s="861"/>
      <c r="AV3" s="861"/>
      <c r="AW3" s="861"/>
      <c r="AX3" s="861"/>
      <c r="AY3" s="861"/>
      <c r="AZ3" s="861"/>
      <c r="BA3" s="861"/>
      <c r="BB3" s="861"/>
      <c r="BC3" s="861"/>
      <c r="BD3" s="861"/>
      <c r="BE3" s="861"/>
      <c r="BF3" s="861"/>
      <c r="BG3" s="861"/>
      <c r="BH3" s="861"/>
      <c r="BI3" s="861"/>
      <c r="BJ3" s="861"/>
      <c r="BK3" s="861"/>
      <c r="BL3" s="861"/>
      <c r="BM3" s="861"/>
      <c r="BN3" s="861"/>
      <c r="BO3" s="861"/>
      <c r="BP3" s="861"/>
      <c r="BQ3" s="861"/>
      <c r="BR3" s="861"/>
      <c r="BS3" s="861"/>
      <c r="BT3" s="861"/>
    </row>
    <row r="4" spans="1:72" ht="13.5" customHeight="1" thickBot="1">
      <c r="B4" s="862" t="s">
        <v>172</v>
      </c>
      <c r="C4" s="862"/>
      <c r="D4" s="862"/>
      <c r="E4" s="862"/>
      <c r="F4" s="862"/>
      <c r="G4" s="862"/>
      <c r="H4" s="862"/>
      <c r="I4" s="862"/>
      <c r="J4" s="862"/>
      <c r="K4" s="246"/>
      <c r="L4" s="863"/>
      <c r="M4" s="863"/>
      <c r="N4" s="863"/>
      <c r="O4" s="863"/>
      <c r="P4" s="863"/>
      <c r="Q4" s="863"/>
      <c r="R4" s="863"/>
      <c r="S4" s="864" t="s">
        <v>173</v>
      </c>
      <c r="T4" s="864"/>
      <c r="U4" s="861"/>
      <c r="V4" s="861"/>
      <c r="W4" s="861"/>
      <c r="X4" s="861"/>
      <c r="Y4" s="861"/>
      <c r="Z4" s="861"/>
      <c r="AA4" s="861"/>
      <c r="AB4" s="861"/>
      <c r="AC4" s="861"/>
      <c r="AD4" s="861"/>
      <c r="AE4" s="861"/>
      <c r="AF4" s="861"/>
      <c r="AG4" s="861"/>
      <c r="AH4" s="861"/>
      <c r="AI4" s="861"/>
      <c r="AJ4" s="861"/>
      <c r="AK4" s="861"/>
      <c r="AL4" s="861"/>
      <c r="AM4" s="861"/>
      <c r="AN4" s="861"/>
      <c r="AO4" s="861"/>
      <c r="AP4" s="861"/>
      <c r="AQ4" s="861"/>
      <c r="AR4" s="861"/>
      <c r="AS4" s="861"/>
      <c r="AT4" s="861"/>
      <c r="AU4" s="861"/>
      <c r="AV4" s="861"/>
      <c r="AW4" s="861"/>
      <c r="AX4" s="861"/>
      <c r="AY4" s="861"/>
      <c r="AZ4" s="861"/>
      <c r="BA4" s="861"/>
      <c r="BB4" s="861"/>
      <c r="BC4" s="861"/>
      <c r="BD4" s="861"/>
      <c r="BE4" s="861"/>
      <c r="BF4" s="861"/>
      <c r="BG4" s="861"/>
      <c r="BH4" s="861"/>
      <c r="BI4" s="861"/>
      <c r="BJ4" s="861"/>
      <c r="BK4" s="861"/>
      <c r="BL4" s="861"/>
      <c r="BM4" s="861"/>
      <c r="BN4" s="861"/>
      <c r="BO4" s="861"/>
      <c r="BP4" s="861"/>
      <c r="BQ4" s="861"/>
      <c r="BR4" s="861"/>
      <c r="BS4" s="861"/>
      <c r="BT4" s="861"/>
    </row>
    <row r="5" spans="1:72" s="251" customFormat="1" ht="13.5" thickBot="1">
      <c r="A5" s="247"/>
      <c r="B5" s="248" t="s">
        <v>174</v>
      </c>
      <c r="C5" s="249"/>
      <c r="D5" s="249"/>
      <c r="E5" s="250"/>
      <c r="F5" s="865"/>
      <c r="G5" s="865"/>
      <c r="H5" s="865"/>
      <c r="I5" s="865"/>
      <c r="J5" s="865"/>
      <c r="K5" s="865"/>
      <c r="L5" s="865"/>
      <c r="M5" s="865"/>
      <c r="N5" s="865"/>
      <c r="O5" s="244"/>
      <c r="P5" s="853" t="s">
        <v>175</v>
      </c>
      <c r="Q5" s="853"/>
      <c r="R5" s="853"/>
      <c r="S5" s="866"/>
      <c r="T5" s="866"/>
      <c r="U5" s="861"/>
      <c r="V5" s="861"/>
      <c r="W5" s="861"/>
      <c r="X5" s="861"/>
      <c r="Y5" s="861"/>
      <c r="Z5" s="861"/>
      <c r="AA5" s="861"/>
      <c r="AB5" s="861"/>
      <c r="AC5" s="861"/>
      <c r="AD5" s="861"/>
      <c r="AE5" s="861"/>
      <c r="AF5" s="861"/>
      <c r="AG5" s="861"/>
      <c r="AH5" s="861"/>
      <c r="AI5" s="861"/>
      <c r="AJ5" s="861"/>
      <c r="AK5" s="861"/>
      <c r="AL5" s="861"/>
      <c r="AM5" s="861"/>
      <c r="AN5" s="861"/>
      <c r="AO5" s="861"/>
      <c r="AP5" s="861"/>
      <c r="AQ5" s="861"/>
      <c r="AR5" s="861"/>
      <c r="AS5" s="861"/>
      <c r="AT5" s="861"/>
      <c r="AU5" s="861"/>
      <c r="AV5" s="861"/>
      <c r="AW5" s="861"/>
      <c r="AX5" s="861"/>
      <c r="AY5" s="861"/>
      <c r="AZ5" s="861"/>
      <c r="BA5" s="861"/>
      <c r="BB5" s="861"/>
      <c r="BC5" s="861"/>
      <c r="BD5" s="861"/>
      <c r="BE5" s="861"/>
      <c r="BF5" s="861"/>
      <c r="BG5" s="861"/>
      <c r="BH5" s="861"/>
      <c r="BI5" s="861"/>
      <c r="BJ5" s="861"/>
      <c r="BK5" s="861"/>
      <c r="BL5" s="861"/>
      <c r="BM5" s="861"/>
      <c r="BN5" s="861"/>
      <c r="BO5" s="861"/>
      <c r="BP5" s="861"/>
      <c r="BQ5" s="861"/>
      <c r="BR5" s="861"/>
      <c r="BS5" s="861"/>
      <c r="BT5" s="861"/>
    </row>
    <row r="6" spans="1:72" s="251" customFormat="1" ht="2.25" customHeight="1" thickBot="1">
      <c r="A6" s="247"/>
      <c r="B6" s="248"/>
      <c r="C6" s="249"/>
      <c r="D6" s="249"/>
      <c r="E6" s="250"/>
      <c r="F6" s="252"/>
      <c r="G6" s="253"/>
      <c r="H6" s="253"/>
      <c r="I6" s="253"/>
      <c r="J6" s="253"/>
      <c r="K6" s="253"/>
      <c r="L6" s="254"/>
      <c r="M6" s="254"/>
      <c r="N6" s="255"/>
      <c r="O6" s="244"/>
      <c r="P6" s="256"/>
      <c r="Q6" s="257"/>
      <c r="S6" s="867"/>
      <c r="T6" s="867"/>
      <c r="U6" s="861"/>
      <c r="V6" s="861"/>
      <c r="W6" s="861"/>
      <c r="X6" s="861"/>
      <c r="Y6" s="861"/>
      <c r="Z6" s="861"/>
      <c r="AA6" s="861"/>
      <c r="AB6" s="861"/>
      <c r="AC6" s="861"/>
      <c r="AD6" s="861"/>
      <c r="AE6" s="861"/>
      <c r="AF6" s="861"/>
      <c r="AG6" s="861"/>
      <c r="AH6" s="861"/>
      <c r="AI6" s="861"/>
      <c r="AJ6" s="861"/>
      <c r="AK6" s="861"/>
      <c r="AL6" s="861"/>
      <c r="AM6" s="861"/>
      <c r="AN6" s="861"/>
      <c r="AO6" s="861"/>
      <c r="AP6" s="861"/>
      <c r="AQ6" s="861"/>
      <c r="AR6" s="861"/>
      <c r="AS6" s="861"/>
      <c r="AT6" s="861"/>
      <c r="AU6" s="861"/>
      <c r="AV6" s="861"/>
      <c r="AW6" s="861"/>
      <c r="AX6" s="861"/>
      <c r="AY6" s="861"/>
      <c r="AZ6" s="861"/>
      <c r="BA6" s="861"/>
      <c r="BB6" s="861"/>
      <c r="BC6" s="861"/>
      <c r="BD6" s="861"/>
      <c r="BE6" s="861"/>
      <c r="BF6" s="861"/>
      <c r="BG6" s="861"/>
      <c r="BH6" s="861"/>
      <c r="BI6" s="861"/>
      <c r="BJ6" s="861"/>
      <c r="BK6" s="861"/>
      <c r="BL6" s="861"/>
      <c r="BM6" s="861"/>
      <c r="BN6" s="861"/>
      <c r="BO6" s="861"/>
      <c r="BP6" s="861"/>
      <c r="BQ6" s="861"/>
      <c r="BR6" s="861"/>
      <c r="BS6" s="861"/>
      <c r="BT6" s="861"/>
    </row>
    <row r="7" spans="1:72" s="251" customFormat="1" ht="13.5" thickBot="1">
      <c r="A7" s="247"/>
      <c r="B7" s="248" t="s">
        <v>176</v>
      </c>
      <c r="C7" s="249"/>
      <c r="D7" s="249"/>
      <c r="E7" s="250"/>
      <c r="F7" s="856"/>
      <c r="G7" s="856"/>
      <c r="H7" s="856"/>
      <c r="I7" s="856"/>
      <c r="J7" s="856"/>
      <c r="K7" s="856"/>
      <c r="L7" s="856"/>
      <c r="M7" s="856"/>
      <c r="N7" s="856"/>
      <c r="O7" s="244"/>
      <c r="P7" s="853" t="s">
        <v>177</v>
      </c>
      <c r="Q7" s="853"/>
      <c r="R7" s="853"/>
      <c r="S7" s="854"/>
      <c r="T7" s="854"/>
      <c r="U7" s="861"/>
      <c r="V7" s="861"/>
      <c r="W7" s="861"/>
      <c r="X7" s="861"/>
      <c r="Y7" s="861"/>
      <c r="Z7" s="861"/>
      <c r="AA7" s="861"/>
      <c r="AB7" s="861"/>
      <c r="AC7" s="861"/>
      <c r="AD7" s="861"/>
      <c r="AE7" s="861"/>
      <c r="AF7" s="861"/>
      <c r="AG7" s="861"/>
      <c r="AH7" s="861"/>
      <c r="AI7" s="861"/>
      <c r="AJ7" s="861"/>
      <c r="AK7" s="861"/>
      <c r="AL7" s="861"/>
      <c r="AM7" s="861"/>
      <c r="AN7" s="861"/>
      <c r="AO7" s="861"/>
      <c r="AP7" s="861"/>
      <c r="AQ7" s="861"/>
      <c r="AR7" s="861"/>
      <c r="AS7" s="861"/>
      <c r="AT7" s="861"/>
      <c r="AU7" s="861"/>
      <c r="AV7" s="861"/>
      <c r="AW7" s="861"/>
      <c r="AX7" s="861"/>
      <c r="AY7" s="861"/>
      <c r="AZ7" s="861"/>
      <c r="BA7" s="861"/>
      <c r="BB7" s="861"/>
      <c r="BC7" s="861"/>
      <c r="BD7" s="861"/>
      <c r="BE7" s="861"/>
      <c r="BF7" s="861"/>
      <c r="BG7" s="861"/>
      <c r="BH7" s="861"/>
      <c r="BI7" s="861"/>
      <c r="BJ7" s="861"/>
      <c r="BK7" s="861"/>
      <c r="BL7" s="861"/>
      <c r="BM7" s="861"/>
      <c r="BN7" s="861"/>
      <c r="BO7" s="861"/>
      <c r="BP7" s="861"/>
      <c r="BQ7" s="861"/>
      <c r="BR7" s="861"/>
      <c r="BS7" s="861"/>
      <c r="BT7" s="861"/>
    </row>
    <row r="8" spans="1:72" s="251" customFormat="1" ht="2.25" customHeight="1" thickBot="1">
      <c r="A8" s="247"/>
      <c r="B8" s="248"/>
      <c r="C8" s="249"/>
      <c r="D8" s="249"/>
      <c r="E8" s="250"/>
      <c r="F8" s="252"/>
      <c r="G8" s="253"/>
      <c r="H8" s="253"/>
      <c r="I8" s="253"/>
      <c r="J8" s="253"/>
      <c r="K8" s="253"/>
      <c r="L8" s="254"/>
      <c r="M8" s="254"/>
      <c r="N8" s="255"/>
      <c r="O8" s="244"/>
      <c r="P8" s="256"/>
      <c r="Q8" s="257"/>
      <c r="S8" s="258"/>
      <c r="T8" s="259"/>
      <c r="U8" s="861"/>
      <c r="V8" s="861"/>
      <c r="W8" s="861"/>
      <c r="X8" s="861"/>
      <c r="Y8" s="861"/>
      <c r="Z8" s="861"/>
      <c r="AA8" s="861"/>
      <c r="AB8" s="861"/>
      <c r="AC8" s="861"/>
      <c r="AD8" s="861"/>
      <c r="AE8" s="861"/>
      <c r="AF8" s="861"/>
      <c r="AG8" s="861"/>
      <c r="AH8" s="861"/>
      <c r="AI8" s="861"/>
      <c r="AJ8" s="861"/>
      <c r="AK8" s="861"/>
      <c r="AL8" s="861"/>
      <c r="AM8" s="861"/>
      <c r="AN8" s="861"/>
      <c r="AO8" s="861"/>
      <c r="AP8" s="861"/>
      <c r="AQ8" s="861"/>
      <c r="AR8" s="861"/>
      <c r="AS8" s="861"/>
      <c r="AT8" s="861"/>
      <c r="AU8" s="861"/>
      <c r="AV8" s="861"/>
      <c r="AW8" s="861"/>
      <c r="AX8" s="861"/>
      <c r="AY8" s="861"/>
      <c r="AZ8" s="861"/>
      <c r="BA8" s="861"/>
      <c r="BB8" s="861"/>
      <c r="BC8" s="861"/>
      <c r="BD8" s="861"/>
      <c r="BE8" s="861"/>
      <c r="BF8" s="861"/>
      <c r="BG8" s="861"/>
      <c r="BH8" s="861"/>
      <c r="BI8" s="861"/>
      <c r="BJ8" s="861"/>
      <c r="BK8" s="861"/>
      <c r="BL8" s="861"/>
      <c r="BM8" s="861"/>
      <c r="BN8" s="861"/>
      <c r="BO8" s="861"/>
      <c r="BP8" s="861"/>
      <c r="BQ8" s="861"/>
      <c r="BR8" s="861"/>
      <c r="BS8" s="861"/>
      <c r="BT8" s="861"/>
    </row>
    <row r="9" spans="1:72" s="251" customFormat="1" ht="13.5" thickBot="1">
      <c r="A9" s="247"/>
      <c r="B9" s="260" t="s">
        <v>154</v>
      </c>
      <c r="C9" s="261"/>
      <c r="D9" s="261"/>
      <c r="E9" s="250"/>
      <c r="F9" s="857"/>
      <c r="G9" s="857"/>
      <c r="H9" s="857"/>
      <c r="I9" s="857"/>
      <c r="J9" s="857"/>
      <c r="K9" s="857"/>
      <c r="L9" s="857"/>
      <c r="M9" s="857"/>
      <c r="N9" s="857"/>
      <c r="O9" s="244"/>
      <c r="P9" s="853" t="s">
        <v>178</v>
      </c>
      <c r="Q9" s="853"/>
      <c r="R9" s="853"/>
      <c r="S9" s="858"/>
      <c r="T9" s="858"/>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1"/>
      <c r="AT9" s="861"/>
      <c r="AU9" s="861"/>
      <c r="AV9" s="861"/>
      <c r="AW9" s="861"/>
      <c r="AX9" s="861"/>
      <c r="AY9" s="861"/>
      <c r="AZ9" s="861"/>
      <c r="BA9" s="861"/>
      <c r="BB9" s="861"/>
      <c r="BC9" s="861"/>
      <c r="BD9" s="861"/>
      <c r="BE9" s="861"/>
      <c r="BF9" s="861"/>
      <c r="BG9" s="861"/>
      <c r="BH9" s="861"/>
      <c r="BI9" s="861"/>
      <c r="BJ9" s="861"/>
      <c r="BK9" s="861"/>
      <c r="BL9" s="861"/>
      <c r="BM9" s="861"/>
      <c r="BN9" s="861"/>
      <c r="BO9" s="861"/>
      <c r="BP9" s="861"/>
      <c r="BQ9" s="861"/>
      <c r="BR9" s="861"/>
      <c r="BS9" s="861"/>
      <c r="BT9" s="861"/>
    </row>
    <row r="10" spans="1:72" s="251" customFormat="1" ht="2.25" customHeight="1" thickBot="1">
      <c r="A10" s="247"/>
      <c r="B10" s="260"/>
      <c r="C10" s="261"/>
      <c r="D10" s="261"/>
      <c r="E10" s="250"/>
      <c r="F10" s="250"/>
      <c r="G10" s="244"/>
      <c r="H10" s="244"/>
      <c r="I10" s="244"/>
      <c r="J10" s="244"/>
      <c r="K10" s="244"/>
      <c r="L10" s="244"/>
      <c r="M10" s="244"/>
      <c r="N10" s="262"/>
      <c r="O10" s="244"/>
      <c r="P10" s="256"/>
      <c r="Q10" s="257"/>
      <c r="S10" s="258"/>
      <c r="T10" s="259"/>
      <c r="U10" s="861"/>
      <c r="V10" s="861"/>
      <c r="W10" s="861"/>
      <c r="X10" s="861"/>
      <c r="Y10" s="861"/>
      <c r="Z10" s="861"/>
      <c r="AA10" s="861"/>
      <c r="AB10" s="861"/>
      <c r="AC10" s="861"/>
      <c r="AD10" s="861"/>
      <c r="AE10" s="861"/>
      <c r="AF10" s="861"/>
      <c r="AG10" s="861"/>
      <c r="AH10" s="861"/>
      <c r="AI10" s="861"/>
      <c r="AJ10" s="861"/>
      <c r="AK10" s="861"/>
      <c r="AL10" s="861"/>
      <c r="AM10" s="861"/>
      <c r="AN10" s="861"/>
      <c r="AO10" s="861"/>
      <c r="AP10" s="861"/>
      <c r="AQ10" s="861"/>
      <c r="AR10" s="861"/>
      <c r="AS10" s="861"/>
      <c r="AT10" s="861"/>
      <c r="AU10" s="861"/>
      <c r="AV10" s="861"/>
      <c r="AW10" s="861"/>
      <c r="AX10" s="861"/>
      <c r="AY10" s="861"/>
      <c r="AZ10" s="861"/>
      <c r="BA10" s="861"/>
      <c r="BB10" s="861"/>
      <c r="BC10" s="861"/>
      <c r="BD10" s="861"/>
      <c r="BE10" s="861"/>
      <c r="BF10" s="861"/>
      <c r="BG10" s="861"/>
      <c r="BH10" s="861"/>
      <c r="BI10" s="861"/>
      <c r="BJ10" s="861"/>
      <c r="BK10" s="861"/>
      <c r="BL10" s="861"/>
      <c r="BM10" s="861"/>
      <c r="BN10" s="861"/>
      <c r="BO10" s="861"/>
      <c r="BP10" s="861"/>
      <c r="BQ10" s="861"/>
      <c r="BR10" s="861"/>
      <c r="BS10" s="861"/>
      <c r="BT10" s="861"/>
    </row>
    <row r="11" spans="1:72" s="251" customFormat="1" ht="13.5" thickBot="1">
      <c r="A11" s="247"/>
      <c r="B11" s="852" t="s">
        <v>179</v>
      </c>
      <c r="C11" s="852"/>
      <c r="D11" s="852"/>
      <c r="E11" s="852"/>
      <c r="F11" s="852"/>
      <c r="G11" s="852"/>
      <c r="H11" s="852"/>
      <c r="I11" s="852"/>
      <c r="J11" s="852"/>
      <c r="K11" s="852"/>
      <c r="L11" s="852"/>
      <c r="M11" s="852"/>
      <c r="N11" s="852"/>
      <c r="O11" s="244"/>
      <c r="P11" s="853" t="s">
        <v>180</v>
      </c>
      <c r="Q11" s="853"/>
      <c r="R11" s="853"/>
      <c r="S11" s="854"/>
      <c r="T11" s="854"/>
      <c r="U11" s="861"/>
      <c r="V11" s="861"/>
      <c r="W11" s="861"/>
      <c r="X11" s="861"/>
      <c r="Y11" s="861"/>
      <c r="Z11" s="861"/>
      <c r="AA11" s="861"/>
      <c r="AB11" s="861"/>
      <c r="AC11" s="861"/>
      <c r="AD11" s="861"/>
      <c r="AE11" s="861"/>
      <c r="AF11" s="861"/>
      <c r="AG11" s="861"/>
      <c r="AH11" s="861"/>
      <c r="AI11" s="861"/>
      <c r="AJ11" s="861"/>
      <c r="AK11" s="861"/>
      <c r="AL11" s="861"/>
      <c r="AM11" s="861"/>
      <c r="AN11" s="861"/>
      <c r="AO11" s="861"/>
      <c r="AP11" s="861"/>
      <c r="AQ11" s="861"/>
      <c r="AR11" s="861"/>
      <c r="AS11" s="861"/>
      <c r="AT11" s="861"/>
      <c r="AU11" s="861"/>
      <c r="AV11" s="861"/>
      <c r="AW11" s="861"/>
      <c r="AX11" s="861"/>
      <c r="AY11" s="861"/>
      <c r="AZ11" s="861"/>
      <c r="BA11" s="861"/>
      <c r="BB11" s="861"/>
      <c r="BC11" s="861"/>
      <c r="BD11" s="861"/>
      <c r="BE11" s="861"/>
      <c r="BF11" s="861"/>
      <c r="BG11" s="861"/>
      <c r="BH11" s="861"/>
      <c r="BI11" s="861"/>
      <c r="BJ11" s="861"/>
      <c r="BK11" s="861"/>
      <c r="BL11" s="861"/>
      <c r="BM11" s="861"/>
      <c r="BN11" s="861"/>
      <c r="BO11" s="861"/>
      <c r="BP11" s="861"/>
      <c r="BQ11" s="861"/>
      <c r="BR11" s="861"/>
      <c r="BS11" s="861"/>
      <c r="BT11" s="861"/>
    </row>
    <row r="12" spans="1:72" ht="2.25" customHeight="1" thickBot="1">
      <c r="A12" s="244"/>
      <c r="B12" s="263"/>
      <c r="C12" s="244"/>
      <c r="D12" s="244"/>
      <c r="G12" s="244"/>
      <c r="H12" s="244"/>
      <c r="I12" s="244"/>
      <c r="J12" s="244"/>
      <c r="K12" s="244"/>
      <c r="L12" s="244"/>
      <c r="M12" s="244"/>
      <c r="N12" s="262"/>
      <c r="P12" s="263"/>
      <c r="S12" s="264"/>
      <c r="T12" s="265"/>
      <c r="U12" s="861"/>
      <c r="V12" s="861"/>
      <c r="W12" s="861"/>
      <c r="X12" s="861"/>
      <c r="Y12" s="861"/>
      <c r="Z12" s="861"/>
      <c r="AA12" s="861"/>
      <c r="AB12" s="861"/>
      <c r="AC12" s="861"/>
      <c r="AD12" s="861"/>
      <c r="AE12" s="861"/>
      <c r="AF12" s="861"/>
      <c r="AG12" s="861"/>
      <c r="AH12" s="861"/>
      <c r="AI12" s="861"/>
      <c r="AJ12" s="861"/>
      <c r="AK12" s="861"/>
      <c r="AL12" s="861"/>
      <c r="AM12" s="861"/>
      <c r="AN12" s="861"/>
      <c r="AO12" s="861"/>
      <c r="AP12" s="861"/>
      <c r="AQ12" s="861"/>
      <c r="AR12" s="861"/>
      <c r="AS12" s="861"/>
      <c r="AT12" s="861"/>
      <c r="AU12" s="861"/>
      <c r="AV12" s="861"/>
      <c r="AW12" s="861"/>
      <c r="AX12" s="861"/>
      <c r="AY12" s="861"/>
      <c r="AZ12" s="861"/>
      <c r="BA12" s="861"/>
      <c r="BB12" s="861"/>
      <c r="BC12" s="861"/>
      <c r="BD12" s="861"/>
      <c r="BE12" s="861"/>
      <c r="BF12" s="861"/>
      <c r="BG12" s="861"/>
      <c r="BH12" s="861"/>
      <c r="BI12" s="861"/>
      <c r="BJ12" s="861"/>
      <c r="BK12" s="861"/>
      <c r="BL12" s="861"/>
      <c r="BM12" s="861"/>
      <c r="BN12" s="861"/>
      <c r="BO12" s="861"/>
      <c r="BP12" s="861"/>
      <c r="BQ12" s="861"/>
      <c r="BR12" s="861"/>
      <c r="BS12" s="861"/>
      <c r="BT12" s="861"/>
    </row>
    <row r="13" spans="1:72" s="251" customFormat="1" ht="13.5" thickBot="1">
      <c r="A13" s="247"/>
      <c r="B13" s="266" t="s">
        <v>181</v>
      </c>
      <c r="C13" s="267"/>
      <c r="D13" s="268"/>
      <c r="E13" s="269"/>
      <c r="F13" s="250"/>
      <c r="G13" s="244"/>
      <c r="H13" s="270"/>
      <c r="I13" s="271"/>
      <c r="J13" s="244"/>
      <c r="K13" s="244"/>
      <c r="L13" s="270"/>
      <c r="M13" s="272"/>
      <c r="N13" s="273"/>
      <c r="O13" s="244"/>
      <c r="P13" s="853" t="s">
        <v>182</v>
      </c>
      <c r="Q13" s="853"/>
      <c r="R13" s="853"/>
      <c r="S13" s="854"/>
      <c r="T13" s="854"/>
      <c r="U13" s="861"/>
      <c r="V13" s="861"/>
      <c r="W13" s="861"/>
      <c r="X13" s="861"/>
      <c r="Y13" s="861"/>
      <c r="Z13" s="861"/>
      <c r="AA13" s="861"/>
      <c r="AB13" s="861"/>
      <c r="AC13" s="861"/>
      <c r="AD13" s="861"/>
      <c r="AE13" s="861"/>
      <c r="AF13" s="861"/>
      <c r="AG13" s="861"/>
      <c r="AH13" s="861"/>
      <c r="AI13" s="861"/>
      <c r="AJ13" s="861"/>
      <c r="AK13" s="861"/>
      <c r="AL13" s="861"/>
      <c r="AM13" s="861"/>
      <c r="AN13" s="861"/>
      <c r="AO13" s="861"/>
      <c r="AP13" s="861"/>
      <c r="AQ13" s="861"/>
      <c r="AR13" s="861"/>
      <c r="AS13" s="861"/>
      <c r="AT13" s="861"/>
      <c r="AU13" s="861"/>
      <c r="AV13" s="861"/>
      <c r="AW13" s="861"/>
      <c r="AX13" s="861"/>
      <c r="AY13" s="861"/>
      <c r="AZ13" s="861"/>
      <c r="BA13" s="861"/>
      <c r="BB13" s="861"/>
      <c r="BC13" s="861"/>
      <c r="BD13" s="861"/>
      <c r="BE13" s="861"/>
      <c r="BF13" s="861"/>
      <c r="BG13" s="861"/>
      <c r="BH13" s="861"/>
      <c r="BI13" s="861"/>
      <c r="BJ13" s="861"/>
      <c r="BK13" s="861"/>
      <c r="BL13" s="861"/>
      <c r="BM13" s="861"/>
      <c r="BN13" s="861"/>
      <c r="BO13" s="861"/>
      <c r="BP13" s="861"/>
      <c r="BQ13" s="861"/>
      <c r="BR13" s="861"/>
      <c r="BS13" s="861"/>
      <c r="BT13" s="861"/>
    </row>
    <row r="14" spans="1:72" s="251" customFormat="1" ht="2.25" customHeight="1" thickBot="1">
      <c r="A14" s="247"/>
      <c r="B14" s="266"/>
      <c r="C14" s="267"/>
      <c r="D14" s="274"/>
      <c r="E14" s="250"/>
      <c r="F14" s="250"/>
      <c r="G14" s="244"/>
      <c r="H14" s="270"/>
      <c r="I14" s="244"/>
      <c r="J14" s="244"/>
      <c r="K14" s="270"/>
      <c r="L14" s="244"/>
      <c r="M14" s="245"/>
      <c r="N14" s="273"/>
      <c r="O14" s="244"/>
      <c r="P14" s="256"/>
      <c r="Q14" s="257"/>
      <c r="S14" s="258"/>
      <c r="T14" s="259"/>
      <c r="U14" s="861"/>
      <c r="V14" s="861"/>
      <c r="W14" s="861"/>
      <c r="X14" s="861"/>
      <c r="Y14" s="861"/>
      <c r="Z14" s="861"/>
      <c r="AA14" s="861"/>
      <c r="AB14" s="861"/>
      <c r="AC14" s="861"/>
      <c r="AD14" s="861"/>
      <c r="AE14" s="861"/>
      <c r="AF14" s="861"/>
      <c r="AG14" s="861"/>
      <c r="AH14" s="861"/>
      <c r="AI14" s="861"/>
      <c r="AJ14" s="861"/>
      <c r="AK14" s="861"/>
      <c r="AL14" s="861"/>
      <c r="AM14" s="861"/>
      <c r="AN14" s="861"/>
      <c r="AO14" s="861"/>
      <c r="AP14" s="861"/>
      <c r="AQ14" s="861"/>
      <c r="AR14" s="861"/>
      <c r="AS14" s="861"/>
      <c r="AT14" s="861"/>
      <c r="AU14" s="861"/>
      <c r="AV14" s="861"/>
      <c r="AW14" s="861"/>
      <c r="AX14" s="861"/>
      <c r="AY14" s="861"/>
      <c r="AZ14" s="861"/>
      <c r="BA14" s="861"/>
      <c r="BB14" s="861"/>
      <c r="BC14" s="861"/>
      <c r="BD14" s="861"/>
      <c r="BE14" s="861"/>
      <c r="BF14" s="861"/>
      <c r="BG14" s="861"/>
      <c r="BH14" s="861"/>
      <c r="BI14" s="861"/>
      <c r="BJ14" s="861"/>
      <c r="BK14" s="861"/>
      <c r="BL14" s="861"/>
      <c r="BM14" s="861"/>
      <c r="BN14" s="861"/>
      <c r="BO14" s="861"/>
      <c r="BP14" s="861"/>
      <c r="BQ14" s="861"/>
      <c r="BR14" s="861"/>
      <c r="BS14" s="861"/>
      <c r="BT14" s="861"/>
    </row>
    <row r="15" spans="1:72" s="251" customFormat="1" ht="13.5" thickBot="1">
      <c r="A15" s="247"/>
      <c r="B15" s="263"/>
      <c r="C15" s="244"/>
      <c r="D15" s="270" t="s">
        <v>183</v>
      </c>
      <c r="E15" s="855"/>
      <c r="F15" s="855"/>
      <c r="G15" s="855"/>
      <c r="H15" s="855"/>
      <c r="I15" s="855"/>
      <c r="J15" s="855"/>
      <c r="K15" s="855"/>
      <c r="L15" s="855"/>
      <c r="M15" s="271"/>
      <c r="N15" s="262"/>
      <c r="O15" s="244"/>
      <c r="P15" s="853" t="s">
        <v>184</v>
      </c>
      <c r="Q15" s="853"/>
      <c r="R15" s="853"/>
      <c r="S15" s="854"/>
      <c r="T15" s="854"/>
      <c r="U15" s="861"/>
      <c r="V15" s="861"/>
      <c r="W15" s="861"/>
      <c r="X15" s="861"/>
      <c r="Y15" s="861"/>
      <c r="Z15" s="861"/>
      <c r="AA15" s="861"/>
      <c r="AB15" s="861"/>
      <c r="AC15" s="861"/>
      <c r="AD15" s="861"/>
      <c r="AE15" s="861"/>
      <c r="AF15" s="861"/>
      <c r="AG15" s="861"/>
      <c r="AH15" s="861"/>
      <c r="AI15" s="861"/>
      <c r="AJ15" s="861"/>
      <c r="AK15" s="861"/>
      <c r="AL15" s="861"/>
      <c r="AM15" s="861"/>
      <c r="AN15" s="861"/>
      <c r="AO15" s="861"/>
      <c r="AP15" s="861"/>
      <c r="AQ15" s="861"/>
      <c r="AR15" s="861"/>
      <c r="AS15" s="861"/>
      <c r="AT15" s="861"/>
      <c r="AU15" s="861"/>
      <c r="AV15" s="861"/>
      <c r="AW15" s="861"/>
      <c r="AX15" s="861"/>
      <c r="AY15" s="861"/>
      <c r="AZ15" s="861"/>
      <c r="BA15" s="861"/>
      <c r="BB15" s="861"/>
      <c r="BC15" s="861"/>
      <c r="BD15" s="861"/>
      <c r="BE15" s="861"/>
      <c r="BF15" s="861"/>
      <c r="BG15" s="861"/>
      <c r="BH15" s="861"/>
      <c r="BI15" s="861"/>
      <c r="BJ15" s="861"/>
      <c r="BK15" s="861"/>
      <c r="BL15" s="861"/>
      <c r="BM15" s="861"/>
      <c r="BN15" s="861"/>
      <c r="BO15" s="861"/>
      <c r="BP15" s="861"/>
      <c r="BQ15" s="861"/>
      <c r="BR15" s="861"/>
      <c r="BS15" s="861"/>
      <c r="BT15" s="861"/>
    </row>
    <row r="16" spans="1:72" s="251" customFormat="1" ht="3.75" customHeight="1" thickBot="1">
      <c r="A16" s="247"/>
      <c r="B16" s="275"/>
      <c r="C16" s="276"/>
      <c r="D16" s="277"/>
      <c r="E16" s="276"/>
      <c r="F16" s="276"/>
      <c r="G16" s="276"/>
      <c r="H16" s="276"/>
      <c r="I16" s="276"/>
      <c r="J16" s="276"/>
      <c r="K16" s="276"/>
      <c r="L16" s="276"/>
      <c r="M16" s="276"/>
      <c r="N16" s="278"/>
      <c r="O16" s="244"/>
      <c r="P16" s="279"/>
      <c r="Q16" s="280"/>
      <c r="R16" s="281"/>
      <c r="S16" s="282"/>
      <c r="T16" s="281"/>
      <c r="U16" s="861"/>
      <c r="V16" s="861"/>
      <c r="W16" s="861"/>
      <c r="X16" s="861"/>
      <c r="Y16" s="861"/>
      <c r="Z16" s="861"/>
      <c r="AA16" s="861"/>
      <c r="AB16" s="861"/>
      <c r="AC16" s="861"/>
      <c r="AD16" s="861"/>
      <c r="AE16" s="861"/>
      <c r="AF16" s="861"/>
      <c r="AG16" s="861"/>
      <c r="AH16" s="861"/>
      <c r="AI16" s="861"/>
      <c r="AJ16" s="861"/>
      <c r="AK16" s="861"/>
      <c r="AL16" s="861"/>
      <c r="AM16" s="861"/>
      <c r="AN16" s="861"/>
      <c r="AO16" s="861"/>
      <c r="AP16" s="861"/>
      <c r="AQ16" s="861"/>
      <c r="AR16" s="861"/>
      <c r="AS16" s="861"/>
      <c r="AT16" s="861"/>
      <c r="AU16" s="861"/>
      <c r="AV16" s="861"/>
      <c r="AW16" s="861"/>
      <c r="AX16" s="861"/>
      <c r="AY16" s="861"/>
      <c r="AZ16" s="861"/>
      <c r="BA16" s="861"/>
      <c r="BB16" s="861"/>
      <c r="BC16" s="861"/>
      <c r="BD16" s="861"/>
      <c r="BE16" s="861"/>
      <c r="BF16" s="861"/>
      <c r="BG16" s="861"/>
      <c r="BH16" s="861"/>
      <c r="BI16" s="861"/>
      <c r="BJ16" s="861"/>
      <c r="BK16" s="861"/>
      <c r="BL16" s="861"/>
      <c r="BM16" s="861"/>
      <c r="BN16" s="861"/>
      <c r="BO16" s="861"/>
      <c r="BP16" s="861"/>
      <c r="BQ16" s="861"/>
      <c r="BR16" s="861"/>
      <c r="BS16" s="861"/>
      <c r="BT16" s="861"/>
    </row>
    <row r="17" spans="1:72" ht="13.5" customHeight="1" thickBot="1">
      <c r="B17" s="848"/>
      <c r="C17" s="848"/>
      <c r="D17" s="848"/>
      <c r="E17" s="848"/>
      <c r="F17" s="848"/>
      <c r="G17" s="848"/>
      <c r="H17" s="848"/>
      <c r="I17" s="848"/>
      <c r="J17" s="848"/>
      <c r="K17" s="848"/>
      <c r="L17" s="848"/>
      <c r="M17" s="848"/>
      <c r="N17" s="848"/>
      <c r="O17" s="848"/>
      <c r="P17" s="848"/>
      <c r="Q17" s="848"/>
      <c r="R17" s="848"/>
      <c r="S17" s="848"/>
      <c r="T17" s="848"/>
      <c r="U17" s="861"/>
      <c r="V17" s="861"/>
      <c r="W17" s="861"/>
      <c r="X17" s="861"/>
      <c r="Y17" s="861"/>
      <c r="Z17" s="861"/>
      <c r="AA17" s="861"/>
      <c r="AB17" s="861"/>
      <c r="AC17" s="861"/>
      <c r="AD17" s="861"/>
      <c r="AE17" s="861"/>
      <c r="AF17" s="861"/>
      <c r="AG17" s="861"/>
      <c r="AH17" s="861"/>
      <c r="AI17" s="861"/>
      <c r="AJ17" s="861"/>
      <c r="AK17" s="861"/>
      <c r="AL17" s="861"/>
      <c r="AM17" s="861"/>
      <c r="AN17" s="861"/>
      <c r="AO17" s="861"/>
      <c r="AP17" s="861"/>
      <c r="AQ17" s="861"/>
      <c r="AR17" s="861"/>
      <c r="AS17" s="861"/>
      <c r="AT17" s="861"/>
      <c r="AU17" s="861"/>
      <c r="AV17" s="861"/>
      <c r="AW17" s="861"/>
      <c r="AX17" s="861"/>
      <c r="AY17" s="861"/>
      <c r="AZ17" s="861"/>
      <c r="BA17" s="861"/>
      <c r="BB17" s="861"/>
      <c r="BC17" s="861"/>
      <c r="BD17" s="861"/>
      <c r="BE17" s="861"/>
      <c r="BF17" s="861"/>
      <c r="BG17" s="861"/>
      <c r="BH17" s="861"/>
      <c r="BI17" s="861"/>
      <c r="BJ17" s="861"/>
      <c r="BK17" s="861"/>
      <c r="BL17" s="861"/>
      <c r="BM17" s="861"/>
      <c r="BN17" s="861"/>
      <c r="BO17" s="861"/>
      <c r="BP17" s="861"/>
      <c r="BQ17" s="861"/>
      <c r="BR17" s="861"/>
      <c r="BS17" s="861"/>
      <c r="BT17" s="861"/>
    </row>
    <row r="18" spans="1:72" s="284" customFormat="1" ht="13.5" customHeight="1" thickBot="1">
      <c r="A18" s="283"/>
      <c r="B18" s="849" t="s">
        <v>185</v>
      </c>
      <c r="C18" s="849"/>
      <c r="D18" s="849"/>
      <c r="E18" s="849"/>
      <c r="F18" s="849"/>
      <c r="G18" s="849"/>
      <c r="H18" s="849"/>
      <c r="I18" s="849"/>
      <c r="J18" s="850" t="s">
        <v>186</v>
      </c>
      <c r="K18" s="850"/>
      <c r="L18" s="850"/>
      <c r="M18" s="850"/>
      <c r="N18" s="850"/>
      <c r="O18" s="850"/>
      <c r="P18" s="850"/>
      <c r="Q18" s="850" t="s">
        <v>187</v>
      </c>
      <c r="R18" s="850"/>
      <c r="S18" s="851" t="s">
        <v>188</v>
      </c>
      <c r="T18" s="851"/>
      <c r="U18" s="861"/>
      <c r="V18" s="861"/>
      <c r="W18" s="861"/>
      <c r="X18" s="861"/>
      <c r="Y18" s="861"/>
      <c r="Z18" s="861"/>
      <c r="AA18" s="861"/>
      <c r="AB18" s="861"/>
      <c r="AC18" s="861"/>
      <c r="AD18" s="861"/>
      <c r="AE18" s="861"/>
      <c r="AF18" s="861"/>
      <c r="AG18" s="861"/>
      <c r="AH18" s="861"/>
      <c r="AI18" s="861"/>
      <c r="AJ18" s="861"/>
      <c r="AK18" s="861"/>
      <c r="AL18" s="861"/>
      <c r="AM18" s="861"/>
      <c r="AN18" s="861"/>
      <c r="AO18" s="861"/>
      <c r="AP18" s="861"/>
      <c r="AQ18" s="861"/>
      <c r="AR18" s="861"/>
      <c r="AS18" s="861"/>
      <c r="AT18" s="861"/>
      <c r="AU18" s="861"/>
      <c r="AV18" s="861"/>
      <c r="AW18" s="861"/>
      <c r="AX18" s="861"/>
      <c r="AY18" s="861"/>
      <c r="AZ18" s="861"/>
      <c r="BA18" s="861"/>
      <c r="BB18" s="861"/>
      <c r="BC18" s="861"/>
      <c r="BD18" s="861"/>
      <c r="BE18" s="861"/>
      <c r="BF18" s="861"/>
      <c r="BG18" s="861"/>
      <c r="BH18" s="861"/>
      <c r="BI18" s="861"/>
      <c r="BJ18" s="861"/>
      <c r="BK18" s="861"/>
      <c r="BL18" s="861"/>
      <c r="BM18" s="861"/>
      <c r="BN18" s="861"/>
      <c r="BO18" s="861"/>
      <c r="BP18" s="861"/>
      <c r="BQ18" s="861"/>
      <c r="BR18" s="861"/>
      <c r="BS18" s="861"/>
      <c r="BT18" s="861"/>
    </row>
    <row r="19" spans="1:72" ht="13.5" thickBot="1">
      <c r="B19" s="845"/>
      <c r="C19" s="845"/>
      <c r="D19" s="845"/>
      <c r="E19" s="845"/>
      <c r="F19" s="845"/>
      <c r="G19" s="845"/>
      <c r="H19" s="845"/>
      <c r="I19" s="845"/>
      <c r="J19" s="846"/>
      <c r="K19" s="846"/>
      <c r="L19" s="846"/>
      <c r="M19" s="846"/>
      <c r="N19" s="846"/>
      <c r="O19" s="846"/>
      <c r="P19" s="846"/>
      <c r="Q19" s="847"/>
      <c r="R19" s="847"/>
      <c r="S19" s="840"/>
      <c r="T19" s="840"/>
      <c r="U19" s="861"/>
      <c r="V19" s="861"/>
      <c r="W19" s="861"/>
      <c r="X19" s="861"/>
      <c r="Y19" s="861"/>
      <c r="Z19" s="861"/>
      <c r="AA19" s="861"/>
      <c r="AB19" s="861"/>
      <c r="AC19" s="861"/>
      <c r="AD19" s="861"/>
      <c r="AE19" s="861"/>
      <c r="AF19" s="861"/>
      <c r="AG19" s="861"/>
      <c r="AH19" s="861"/>
      <c r="AI19" s="861"/>
      <c r="AJ19" s="861"/>
      <c r="AK19" s="861"/>
      <c r="AL19" s="861"/>
      <c r="AM19" s="861"/>
      <c r="AN19" s="861"/>
      <c r="AO19" s="861"/>
      <c r="AP19" s="861"/>
      <c r="AQ19" s="861"/>
      <c r="AR19" s="861"/>
      <c r="AS19" s="861"/>
      <c r="AT19" s="861"/>
      <c r="AU19" s="861"/>
      <c r="AV19" s="861"/>
      <c r="AW19" s="861"/>
      <c r="AX19" s="861"/>
      <c r="AY19" s="861"/>
      <c r="AZ19" s="861"/>
      <c r="BA19" s="861"/>
      <c r="BB19" s="861"/>
      <c r="BC19" s="861"/>
      <c r="BD19" s="861"/>
      <c r="BE19" s="861"/>
      <c r="BF19" s="861"/>
      <c r="BG19" s="861"/>
      <c r="BH19" s="861"/>
      <c r="BI19" s="861"/>
      <c r="BJ19" s="861"/>
      <c r="BK19" s="861"/>
      <c r="BL19" s="861"/>
      <c r="BM19" s="861"/>
      <c r="BN19" s="861"/>
      <c r="BO19" s="861"/>
      <c r="BP19" s="861"/>
      <c r="BQ19" s="861"/>
      <c r="BR19" s="861"/>
      <c r="BS19" s="861"/>
      <c r="BT19" s="861"/>
    </row>
    <row r="20" spans="1:72" ht="13.5" thickBot="1">
      <c r="B20" s="845"/>
      <c r="C20" s="845"/>
      <c r="D20" s="845"/>
      <c r="E20" s="845"/>
      <c r="F20" s="845"/>
      <c r="G20" s="845"/>
      <c r="H20" s="845"/>
      <c r="I20" s="845"/>
      <c r="J20" s="846"/>
      <c r="K20" s="846"/>
      <c r="L20" s="846"/>
      <c r="M20" s="846"/>
      <c r="N20" s="846"/>
      <c r="O20" s="846"/>
      <c r="P20" s="846"/>
      <c r="Q20" s="847"/>
      <c r="R20" s="847"/>
      <c r="S20" s="840"/>
      <c r="T20" s="840"/>
      <c r="U20" s="861"/>
      <c r="V20" s="861"/>
      <c r="W20" s="861"/>
      <c r="X20" s="861"/>
      <c r="Y20" s="861"/>
      <c r="Z20" s="861"/>
      <c r="AA20" s="861"/>
      <c r="AB20" s="861"/>
      <c r="AC20" s="861"/>
      <c r="AD20" s="861"/>
      <c r="AE20" s="861"/>
      <c r="AF20" s="861"/>
      <c r="AG20" s="861"/>
      <c r="AH20" s="861"/>
      <c r="AI20" s="861"/>
      <c r="AJ20" s="861"/>
      <c r="AK20" s="861"/>
      <c r="AL20" s="861"/>
      <c r="AM20" s="861"/>
      <c r="AN20" s="861"/>
      <c r="AO20" s="861"/>
      <c r="AP20" s="861"/>
      <c r="AQ20" s="861"/>
      <c r="AR20" s="861"/>
      <c r="AS20" s="861"/>
      <c r="AT20" s="861"/>
      <c r="AU20" s="861"/>
      <c r="AV20" s="861"/>
      <c r="AW20" s="861"/>
      <c r="AX20" s="861"/>
      <c r="AY20" s="861"/>
      <c r="AZ20" s="861"/>
      <c r="BA20" s="861"/>
      <c r="BB20" s="861"/>
      <c r="BC20" s="861"/>
      <c r="BD20" s="861"/>
      <c r="BE20" s="861"/>
      <c r="BF20" s="861"/>
      <c r="BG20" s="861"/>
      <c r="BH20" s="861"/>
      <c r="BI20" s="861"/>
      <c r="BJ20" s="861"/>
      <c r="BK20" s="861"/>
      <c r="BL20" s="861"/>
      <c r="BM20" s="861"/>
      <c r="BN20" s="861"/>
      <c r="BO20" s="861"/>
      <c r="BP20" s="861"/>
      <c r="BQ20" s="861"/>
      <c r="BR20" s="861"/>
      <c r="BS20" s="861"/>
      <c r="BT20" s="861"/>
    </row>
    <row r="21" spans="1:72" ht="13.5" thickBot="1">
      <c r="B21" s="845"/>
      <c r="C21" s="845"/>
      <c r="D21" s="845"/>
      <c r="E21" s="845"/>
      <c r="F21" s="845"/>
      <c r="G21" s="845"/>
      <c r="H21" s="845"/>
      <c r="I21" s="845"/>
      <c r="J21" s="846"/>
      <c r="K21" s="846"/>
      <c r="L21" s="846"/>
      <c r="M21" s="846"/>
      <c r="N21" s="846"/>
      <c r="O21" s="846"/>
      <c r="P21" s="846"/>
      <c r="Q21" s="847"/>
      <c r="R21" s="847"/>
      <c r="S21" s="840"/>
      <c r="T21" s="840"/>
      <c r="U21" s="861"/>
      <c r="V21" s="861"/>
      <c r="W21" s="861"/>
      <c r="X21" s="861"/>
      <c r="Y21" s="861"/>
      <c r="Z21" s="861"/>
      <c r="AA21" s="861"/>
      <c r="AB21" s="861"/>
      <c r="AC21" s="861"/>
      <c r="AD21" s="861"/>
      <c r="AE21" s="861"/>
      <c r="AF21" s="861"/>
      <c r="AG21" s="861"/>
      <c r="AH21" s="861"/>
      <c r="AI21" s="861"/>
      <c r="AJ21" s="861"/>
      <c r="AK21" s="861"/>
      <c r="AL21" s="861"/>
      <c r="AM21" s="861"/>
      <c r="AN21" s="861"/>
      <c r="AO21" s="861"/>
      <c r="AP21" s="861"/>
      <c r="AQ21" s="861"/>
      <c r="AR21" s="861"/>
      <c r="AS21" s="861"/>
      <c r="AT21" s="861"/>
      <c r="AU21" s="861"/>
      <c r="AV21" s="861"/>
      <c r="AW21" s="861"/>
      <c r="AX21" s="861"/>
      <c r="AY21" s="861"/>
      <c r="AZ21" s="861"/>
      <c r="BA21" s="861"/>
      <c r="BB21" s="861"/>
      <c r="BC21" s="861"/>
      <c r="BD21" s="861"/>
      <c r="BE21" s="861"/>
      <c r="BF21" s="861"/>
      <c r="BG21" s="861"/>
      <c r="BH21" s="861"/>
      <c r="BI21" s="861"/>
      <c r="BJ21" s="861"/>
      <c r="BK21" s="861"/>
      <c r="BL21" s="861"/>
      <c r="BM21" s="861"/>
      <c r="BN21" s="861"/>
      <c r="BO21" s="861"/>
      <c r="BP21" s="861"/>
      <c r="BQ21" s="861"/>
      <c r="BR21" s="861"/>
      <c r="BS21" s="861"/>
      <c r="BT21" s="861"/>
    </row>
    <row r="22" spans="1:72" ht="13.5" outlineLevel="1" thickBot="1">
      <c r="B22" s="834"/>
      <c r="C22" s="835"/>
      <c r="D22" s="835"/>
      <c r="E22" s="835"/>
      <c r="F22" s="835"/>
      <c r="G22" s="835"/>
      <c r="H22" s="835"/>
      <c r="I22" s="836"/>
      <c r="J22" s="837"/>
      <c r="K22" s="835"/>
      <c r="L22" s="835"/>
      <c r="M22" s="835"/>
      <c r="N22" s="835"/>
      <c r="O22" s="835"/>
      <c r="P22" s="836"/>
      <c r="Q22" s="838"/>
      <c r="R22" s="839"/>
      <c r="S22" s="840"/>
      <c r="T22" s="840"/>
      <c r="U22" s="861"/>
      <c r="V22" s="861"/>
      <c r="W22" s="861"/>
      <c r="X22" s="861"/>
      <c r="Y22" s="861"/>
      <c r="Z22" s="861"/>
      <c r="AA22" s="861"/>
      <c r="AB22" s="861"/>
      <c r="AC22" s="861"/>
      <c r="AD22" s="861"/>
      <c r="AE22" s="861"/>
      <c r="AF22" s="861"/>
      <c r="AG22" s="861"/>
      <c r="AH22" s="861"/>
      <c r="AI22" s="861"/>
      <c r="AJ22" s="861"/>
      <c r="AK22" s="861"/>
      <c r="AL22" s="861"/>
      <c r="AM22" s="861"/>
      <c r="AN22" s="861"/>
      <c r="AO22" s="861"/>
      <c r="AP22" s="861"/>
      <c r="AQ22" s="861"/>
      <c r="AR22" s="861"/>
      <c r="AS22" s="861"/>
      <c r="AT22" s="861"/>
      <c r="AU22" s="861"/>
      <c r="AV22" s="861"/>
      <c r="AW22" s="861"/>
      <c r="AX22" s="861"/>
      <c r="AY22" s="861"/>
      <c r="AZ22" s="861"/>
      <c r="BA22" s="861"/>
      <c r="BB22" s="861"/>
      <c r="BC22" s="861"/>
      <c r="BD22" s="861"/>
      <c r="BE22" s="861"/>
      <c r="BF22" s="861"/>
      <c r="BG22" s="861"/>
      <c r="BH22" s="861"/>
      <c r="BI22" s="861"/>
      <c r="BJ22" s="861"/>
      <c r="BK22" s="861"/>
      <c r="BL22" s="861"/>
      <c r="BM22" s="861"/>
      <c r="BN22" s="861"/>
      <c r="BO22" s="861"/>
      <c r="BP22" s="861"/>
      <c r="BQ22" s="861"/>
      <c r="BR22" s="861"/>
      <c r="BS22" s="861"/>
      <c r="BT22" s="861"/>
    </row>
    <row r="23" spans="1:72" ht="13.5" customHeight="1" thickBot="1">
      <c r="A23" s="285"/>
      <c r="B23" s="841"/>
      <c r="C23" s="841"/>
      <c r="D23" s="841"/>
      <c r="E23" s="841"/>
      <c r="F23" s="841"/>
      <c r="G23" s="841"/>
      <c r="H23" s="841"/>
      <c r="I23" s="841"/>
      <c r="J23" s="842"/>
      <c r="K23" s="842"/>
      <c r="L23" s="842"/>
      <c r="M23" s="842"/>
      <c r="N23" s="842"/>
      <c r="O23" s="842"/>
      <c r="P23" s="842"/>
      <c r="Q23" s="843"/>
      <c r="R23" s="843"/>
      <c r="S23" s="844"/>
      <c r="T23" s="844"/>
      <c r="U23" s="861"/>
      <c r="V23" s="861"/>
      <c r="W23" s="861"/>
      <c r="X23" s="861"/>
      <c r="Y23" s="861"/>
      <c r="Z23" s="861"/>
      <c r="AA23" s="861"/>
      <c r="AB23" s="861"/>
      <c r="AC23" s="861"/>
      <c r="AD23" s="861"/>
      <c r="AE23" s="861"/>
      <c r="AF23" s="861"/>
      <c r="AG23" s="861"/>
      <c r="AH23" s="861"/>
      <c r="AI23" s="861"/>
      <c r="AJ23" s="861"/>
      <c r="AK23" s="861"/>
      <c r="AL23" s="861"/>
      <c r="AM23" s="861"/>
      <c r="AN23" s="861"/>
      <c r="AO23" s="861"/>
      <c r="AP23" s="861"/>
      <c r="AQ23" s="861"/>
      <c r="AR23" s="861"/>
      <c r="AS23" s="861"/>
      <c r="AT23" s="861"/>
      <c r="AU23" s="861"/>
      <c r="AV23" s="861"/>
      <c r="AW23" s="861"/>
      <c r="AX23" s="861"/>
      <c r="AY23" s="861"/>
      <c r="AZ23" s="861"/>
      <c r="BA23" s="861"/>
      <c r="BB23" s="861"/>
      <c r="BC23" s="861"/>
      <c r="BD23" s="861"/>
      <c r="BE23" s="861"/>
      <c r="BF23" s="861"/>
      <c r="BG23" s="861"/>
      <c r="BH23" s="861"/>
      <c r="BI23" s="861"/>
      <c r="BJ23" s="861"/>
      <c r="BK23" s="861"/>
      <c r="BL23" s="861"/>
      <c r="BM23" s="861"/>
      <c r="BN23" s="861"/>
      <c r="BO23" s="861"/>
      <c r="BP23" s="861"/>
      <c r="BQ23" s="861"/>
      <c r="BR23" s="861"/>
      <c r="BS23" s="861"/>
      <c r="BT23" s="861"/>
    </row>
    <row r="24" spans="1:72" s="286" customFormat="1" ht="12.75" customHeight="1" thickBot="1">
      <c r="A24" s="244"/>
      <c r="B24" s="828"/>
      <c r="C24" s="828"/>
      <c r="D24" s="828"/>
      <c r="E24" s="828"/>
      <c r="F24" s="828"/>
      <c r="G24" s="828"/>
      <c r="H24" s="828"/>
      <c r="I24" s="828"/>
      <c r="J24" s="828"/>
      <c r="K24" s="828"/>
      <c r="L24" s="828"/>
      <c r="M24" s="828"/>
      <c r="N24" s="828"/>
      <c r="O24" s="828"/>
      <c r="P24" s="828"/>
      <c r="Q24" s="828"/>
      <c r="R24" s="828"/>
      <c r="S24" s="828"/>
      <c r="T24" s="828"/>
      <c r="U24" s="861"/>
      <c r="V24" s="861"/>
      <c r="W24" s="861"/>
      <c r="X24" s="861"/>
      <c r="Y24" s="861"/>
      <c r="Z24" s="861"/>
      <c r="AA24" s="861"/>
      <c r="AB24" s="861"/>
      <c r="AC24" s="861"/>
      <c r="AD24" s="861"/>
      <c r="AE24" s="861"/>
      <c r="AF24" s="861"/>
      <c r="AG24" s="861"/>
      <c r="AH24" s="861"/>
      <c r="AI24" s="861"/>
      <c r="AJ24" s="861"/>
      <c r="AK24" s="861"/>
      <c r="AL24" s="861"/>
      <c r="AM24" s="861"/>
      <c r="AN24" s="861"/>
      <c r="AO24" s="861"/>
      <c r="AP24" s="861"/>
      <c r="AQ24" s="861"/>
      <c r="AR24" s="861"/>
      <c r="AS24" s="861"/>
      <c r="AT24" s="861"/>
      <c r="AU24" s="861"/>
      <c r="AV24" s="861"/>
      <c r="AW24" s="861"/>
      <c r="AX24" s="861"/>
      <c r="AY24" s="861"/>
      <c r="AZ24" s="861"/>
      <c r="BA24" s="861"/>
      <c r="BB24" s="861"/>
      <c r="BC24" s="861"/>
      <c r="BD24" s="861"/>
      <c r="BE24" s="861"/>
      <c r="BF24" s="861"/>
      <c r="BG24" s="861"/>
      <c r="BH24" s="861"/>
      <c r="BI24" s="861"/>
      <c r="BJ24" s="861"/>
      <c r="BK24" s="861"/>
      <c r="BL24" s="861"/>
      <c r="BM24" s="861"/>
      <c r="BN24" s="861"/>
      <c r="BO24" s="861"/>
      <c r="BP24" s="861"/>
      <c r="BQ24" s="861"/>
      <c r="BR24" s="861"/>
      <c r="BS24" s="861"/>
      <c r="BT24" s="861"/>
    </row>
    <row r="25" spans="1:72" ht="13.5" thickBot="1">
      <c r="A25" s="244"/>
      <c r="B25" s="829" t="s">
        <v>189</v>
      </c>
      <c r="C25" s="829"/>
      <c r="D25" s="829"/>
      <c r="E25" s="829"/>
      <c r="F25" s="829"/>
      <c r="G25" s="830" t="s">
        <v>190</v>
      </c>
      <c r="H25" s="830"/>
      <c r="I25" s="830"/>
      <c r="J25" s="830"/>
      <c r="K25" s="287"/>
      <c r="L25" s="831" t="s">
        <v>191</v>
      </c>
      <c r="M25" s="831"/>
      <c r="N25" s="831"/>
      <c r="O25" s="831"/>
      <c r="P25" s="832" t="s">
        <v>192</v>
      </c>
      <c r="Q25" s="832"/>
      <c r="R25" s="833" t="s">
        <v>193</v>
      </c>
      <c r="S25" s="833"/>
      <c r="T25" s="833"/>
      <c r="U25" s="861"/>
      <c r="V25" s="861"/>
      <c r="W25" s="861"/>
      <c r="X25" s="861"/>
      <c r="Y25" s="861"/>
      <c r="Z25" s="861"/>
      <c r="AA25" s="861"/>
      <c r="AB25" s="861"/>
      <c r="AC25" s="861"/>
      <c r="AD25" s="861"/>
      <c r="AE25" s="861"/>
      <c r="AF25" s="861"/>
      <c r="AG25" s="861"/>
      <c r="AH25" s="861"/>
      <c r="AI25" s="861"/>
      <c r="AJ25" s="861"/>
      <c r="AK25" s="861"/>
      <c r="AL25" s="861"/>
      <c r="AM25" s="861"/>
      <c r="AN25" s="861"/>
      <c r="AO25" s="861"/>
      <c r="AP25" s="861"/>
      <c r="AQ25" s="861"/>
      <c r="AR25" s="861"/>
      <c r="AS25" s="861"/>
      <c r="AT25" s="861"/>
      <c r="AU25" s="861"/>
      <c r="AV25" s="861"/>
      <c r="AW25" s="861"/>
      <c r="AX25" s="861"/>
      <c r="AY25" s="861"/>
      <c r="AZ25" s="861"/>
      <c r="BA25" s="861"/>
      <c r="BB25" s="861"/>
      <c r="BC25" s="861"/>
      <c r="BD25" s="861"/>
      <c r="BE25" s="861"/>
      <c r="BF25" s="861"/>
      <c r="BG25" s="861"/>
      <c r="BH25" s="861"/>
      <c r="BI25" s="861"/>
      <c r="BJ25" s="861"/>
      <c r="BK25" s="861"/>
      <c r="BL25" s="861"/>
      <c r="BM25" s="861"/>
      <c r="BN25" s="861"/>
      <c r="BO25" s="861"/>
      <c r="BP25" s="861"/>
      <c r="BQ25" s="861"/>
      <c r="BR25" s="861"/>
      <c r="BS25" s="861"/>
      <c r="BT25" s="861"/>
    </row>
    <row r="26" spans="1:72" ht="13.5" thickBot="1">
      <c r="A26" s="285"/>
      <c r="B26" s="829"/>
      <c r="C26" s="829"/>
      <c r="D26" s="829"/>
      <c r="E26" s="829"/>
      <c r="F26" s="829"/>
      <c r="G26" s="830"/>
      <c r="H26" s="830"/>
      <c r="I26" s="830"/>
      <c r="J26" s="830"/>
      <c r="K26" s="288"/>
      <c r="L26" s="831"/>
      <c r="M26" s="831"/>
      <c r="N26" s="831"/>
      <c r="O26" s="831"/>
      <c r="P26" s="832"/>
      <c r="Q26" s="832"/>
      <c r="R26" s="833"/>
      <c r="S26" s="833"/>
      <c r="T26" s="833"/>
      <c r="U26" s="861"/>
      <c r="V26" s="861"/>
      <c r="W26" s="861"/>
      <c r="X26" s="861"/>
      <c r="Y26" s="861"/>
      <c r="Z26" s="861"/>
      <c r="AA26" s="861"/>
      <c r="AB26" s="861"/>
      <c r="AC26" s="861"/>
      <c r="AD26" s="861"/>
      <c r="AE26" s="861"/>
      <c r="AF26" s="861"/>
      <c r="AG26" s="861"/>
      <c r="AH26" s="861"/>
      <c r="AI26" s="861"/>
      <c r="AJ26" s="861"/>
      <c r="AK26" s="861"/>
      <c r="AL26" s="861"/>
      <c r="AM26" s="861"/>
      <c r="AN26" s="861"/>
      <c r="AO26" s="861"/>
      <c r="AP26" s="861"/>
      <c r="AQ26" s="861"/>
      <c r="AR26" s="861"/>
      <c r="AS26" s="861"/>
      <c r="AT26" s="861"/>
      <c r="AU26" s="861"/>
      <c r="AV26" s="861"/>
      <c r="AW26" s="861"/>
      <c r="AX26" s="861"/>
      <c r="AY26" s="861"/>
      <c r="AZ26" s="861"/>
      <c r="BA26" s="861"/>
      <c r="BB26" s="861"/>
      <c r="BC26" s="861"/>
      <c r="BD26" s="861"/>
      <c r="BE26" s="861"/>
      <c r="BF26" s="861"/>
      <c r="BG26" s="861"/>
      <c r="BH26" s="861"/>
      <c r="BI26" s="861"/>
      <c r="BJ26" s="861"/>
      <c r="BK26" s="861"/>
      <c r="BL26" s="861"/>
      <c r="BM26" s="861"/>
      <c r="BN26" s="861"/>
      <c r="BO26" s="861"/>
      <c r="BP26" s="861"/>
      <c r="BQ26" s="861"/>
      <c r="BR26" s="861"/>
      <c r="BS26" s="861"/>
      <c r="BT26" s="861"/>
    </row>
    <row r="27" spans="1:72" ht="12.75" customHeight="1" thickBot="1">
      <c r="A27" s="285"/>
      <c r="B27" s="824"/>
      <c r="C27" s="824"/>
      <c r="D27" s="824"/>
      <c r="E27" s="824"/>
      <c r="F27" s="824"/>
      <c r="G27" s="825"/>
      <c r="H27" s="825"/>
      <c r="I27" s="825"/>
      <c r="J27" s="825"/>
      <c r="K27" s="289"/>
      <c r="L27" s="826"/>
      <c r="M27" s="826"/>
      <c r="N27" s="826"/>
      <c r="O27" s="826"/>
      <c r="P27" s="290"/>
      <c r="Q27" s="291"/>
      <c r="R27" s="819"/>
      <c r="S27" s="819"/>
      <c r="T27" s="819"/>
      <c r="U27" s="861"/>
      <c r="V27" s="861"/>
      <c r="W27" s="861"/>
      <c r="X27" s="861"/>
      <c r="Y27" s="861"/>
      <c r="Z27" s="861"/>
      <c r="AA27" s="861"/>
      <c r="AB27" s="861"/>
      <c r="AC27" s="861"/>
      <c r="AD27" s="861"/>
      <c r="AE27" s="861"/>
      <c r="AF27" s="861"/>
      <c r="AG27" s="861"/>
      <c r="AH27" s="861"/>
      <c r="AI27" s="861"/>
      <c r="AJ27" s="861"/>
      <c r="AK27" s="861"/>
      <c r="AL27" s="861"/>
      <c r="AM27" s="861"/>
      <c r="AN27" s="861"/>
      <c r="AO27" s="861"/>
      <c r="AP27" s="861"/>
      <c r="AQ27" s="861"/>
      <c r="AR27" s="861"/>
      <c r="AS27" s="861"/>
      <c r="AT27" s="861"/>
      <c r="AU27" s="861"/>
      <c r="AV27" s="861"/>
      <c r="AW27" s="861"/>
      <c r="AX27" s="861"/>
      <c r="AY27" s="861"/>
      <c r="AZ27" s="861"/>
      <c r="BA27" s="861"/>
      <c r="BB27" s="861"/>
      <c r="BC27" s="861"/>
      <c r="BD27" s="861"/>
      <c r="BE27" s="861"/>
      <c r="BF27" s="861"/>
      <c r="BG27" s="861"/>
      <c r="BH27" s="861"/>
      <c r="BI27" s="861"/>
      <c r="BJ27" s="861"/>
      <c r="BK27" s="861"/>
      <c r="BL27" s="861"/>
      <c r="BM27" s="861"/>
      <c r="BN27" s="861"/>
      <c r="BO27" s="861"/>
      <c r="BP27" s="861"/>
      <c r="BQ27" s="861"/>
      <c r="BR27" s="861"/>
      <c r="BS27" s="861"/>
      <c r="BT27" s="861"/>
    </row>
    <row r="28" spans="1:72" ht="12.75" customHeight="1" thickBot="1">
      <c r="A28" s="285"/>
      <c r="B28" s="816"/>
      <c r="C28" s="816"/>
      <c r="D28" s="816"/>
      <c r="E28" s="816"/>
      <c r="F28" s="816"/>
      <c r="G28" s="821"/>
      <c r="H28" s="821"/>
      <c r="I28" s="821"/>
      <c r="J28" s="821"/>
      <c r="K28" s="289"/>
      <c r="L28" s="822"/>
      <c r="M28" s="822"/>
      <c r="N28" s="822"/>
      <c r="O28" s="822"/>
      <c r="P28" s="290"/>
      <c r="Q28" s="292"/>
      <c r="R28" s="827"/>
      <c r="S28" s="827"/>
      <c r="T28" s="827"/>
      <c r="U28" s="861"/>
      <c r="V28" s="861"/>
      <c r="W28" s="861"/>
      <c r="X28" s="861"/>
      <c r="Y28" s="861"/>
      <c r="Z28" s="861"/>
      <c r="AA28" s="861"/>
      <c r="AB28" s="861"/>
      <c r="AC28" s="861"/>
      <c r="AD28" s="861"/>
      <c r="AE28" s="861"/>
      <c r="AF28" s="861"/>
      <c r="AG28" s="861"/>
      <c r="AH28" s="861"/>
      <c r="AI28" s="861"/>
      <c r="AJ28" s="861"/>
      <c r="AK28" s="861"/>
      <c r="AL28" s="861"/>
      <c r="AM28" s="861"/>
      <c r="AN28" s="861"/>
      <c r="AO28" s="861"/>
      <c r="AP28" s="861"/>
      <c r="AQ28" s="861"/>
      <c r="AR28" s="861"/>
      <c r="AS28" s="861"/>
      <c r="AT28" s="861"/>
      <c r="AU28" s="861"/>
      <c r="AV28" s="861"/>
      <c r="AW28" s="861"/>
      <c r="AX28" s="861"/>
      <c r="AY28" s="861"/>
      <c r="AZ28" s="861"/>
      <c r="BA28" s="861"/>
      <c r="BB28" s="861"/>
      <c r="BC28" s="861"/>
      <c r="BD28" s="861"/>
      <c r="BE28" s="861"/>
      <c r="BF28" s="861"/>
      <c r="BG28" s="861"/>
      <c r="BH28" s="861"/>
      <c r="BI28" s="861"/>
      <c r="BJ28" s="861"/>
      <c r="BK28" s="861"/>
      <c r="BL28" s="861"/>
      <c r="BM28" s="861"/>
      <c r="BN28" s="861"/>
      <c r="BO28" s="861"/>
      <c r="BP28" s="861"/>
      <c r="BQ28" s="861"/>
      <c r="BR28" s="861"/>
      <c r="BS28" s="861"/>
      <c r="BT28" s="861"/>
    </row>
    <row r="29" spans="1:72" ht="12.75" customHeight="1" outlineLevel="1" thickBot="1">
      <c r="A29" s="285"/>
      <c r="B29" s="816"/>
      <c r="C29" s="816"/>
      <c r="D29" s="816"/>
      <c r="E29" s="816"/>
      <c r="F29" s="816"/>
      <c r="G29" s="821"/>
      <c r="H29" s="821"/>
      <c r="I29" s="821"/>
      <c r="J29" s="821"/>
      <c r="K29" s="289"/>
      <c r="L29" s="822"/>
      <c r="M29" s="822"/>
      <c r="N29" s="822"/>
      <c r="O29" s="822"/>
      <c r="P29" s="290"/>
      <c r="Q29" s="293"/>
      <c r="R29" s="823"/>
      <c r="S29" s="823"/>
      <c r="T29" s="823"/>
      <c r="U29" s="861"/>
      <c r="V29" s="861"/>
      <c r="W29" s="861"/>
      <c r="X29" s="861"/>
      <c r="Y29" s="861"/>
      <c r="Z29" s="861"/>
      <c r="AA29" s="861"/>
      <c r="AB29" s="861"/>
      <c r="AC29" s="861"/>
      <c r="AD29" s="861"/>
      <c r="AE29" s="861"/>
      <c r="AF29" s="861"/>
      <c r="AG29" s="861"/>
      <c r="AH29" s="861"/>
      <c r="AI29" s="861"/>
      <c r="AJ29" s="861"/>
      <c r="AK29" s="861"/>
      <c r="AL29" s="861"/>
      <c r="AM29" s="861"/>
      <c r="AN29" s="861"/>
      <c r="AO29" s="861"/>
      <c r="AP29" s="861"/>
      <c r="AQ29" s="861"/>
      <c r="AR29" s="861"/>
      <c r="AS29" s="861"/>
      <c r="AT29" s="861"/>
      <c r="AU29" s="861"/>
      <c r="AV29" s="861"/>
      <c r="AW29" s="861"/>
      <c r="AX29" s="861"/>
      <c r="AY29" s="861"/>
      <c r="AZ29" s="861"/>
      <c r="BA29" s="861"/>
      <c r="BB29" s="861"/>
      <c r="BC29" s="861"/>
      <c r="BD29" s="861"/>
      <c r="BE29" s="861"/>
      <c r="BF29" s="861"/>
      <c r="BG29" s="861"/>
      <c r="BH29" s="861"/>
      <c r="BI29" s="861"/>
      <c r="BJ29" s="861"/>
      <c r="BK29" s="861"/>
      <c r="BL29" s="861"/>
      <c r="BM29" s="861"/>
      <c r="BN29" s="861"/>
      <c r="BO29" s="861"/>
      <c r="BP29" s="861"/>
      <c r="BQ29" s="861"/>
      <c r="BR29" s="861"/>
      <c r="BS29" s="861"/>
      <c r="BT29" s="861"/>
    </row>
    <row r="30" spans="1:72" ht="12.75" customHeight="1" outlineLevel="1" thickBot="1">
      <c r="A30" s="285"/>
      <c r="B30" s="816"/>
      <c r="C30" s="816"/>
      <c r="D30" s="816"/>
      <c r="E30" s="816"/>
      <c r="F30" s="816"/>
      <c r="G30" s="821"/>
      <c r="H30" s="821"/>
      <c r="I30" s="821"/>
      <c r="J30" s="821"/>
      <c r="K30" s="294"/>
      <c r="L30" s="818"/>
      <c r="M30" s="818"/>
      <c r="N30" s="818"/>
      <c r="O30" s="818"/>
      <c r="P30" s="290"/>
      <c r="Q30" s="293"/>
      <c r="R30" s="819"/>
      <c r="S30" s="819"/>
      <c r="T30" s="819"/>
      <c r="U30" s="861"/>
      <c r="V30" s="861"/>
      <c r="W30" s="861"/>
      <c r="X30" s="861"/>
      <c r="Y30" s="861"/>
      <c r="Z30" s="861"/>
      <c r="AA30" s="861"/>
      <c r="AB30" s="861"/>
      <c r="AC30" s="861"/>
      <c r="AD30" s="861"/>
      <c r="AE30" s="861"/>
      <c r="AF30" s="861"/>
      <c r="AG30" s="861"/>
      <c r="AH30" s="861"/>
      <c r="AI30" s="861"/>
      <c r="AJ30" s="861"/>
      <c r="AK30" s="861"/>
      <c r="AL30" s="861"/>
      <c r="AM30" s="861"/>
      <c r="AN30" s="861"/>
      <c r="AO30" s="861"/>
      <c r="AP30" s="861"/>
      <c r="AQ30" s="861"/>
      <c r="AR30" s="861"/>
      <c r="AS30" s="861"/>
      <c r="AT30" s="861"/>
      <c r="AU30" s="861"/>
      <c r="AV30" s="861"/>
      <c r="AW30" s="861"/>
      <c r="AX30" s="861"/>
      <c r="AY30" s="861"/>
      <c r="AZ30" s="861"/>
      <c r="BA30" s="861"/>
      <c r="BB30" s="861"/>
      <c r="BC30" s="861"/>
      <c r="BD30" s="861"/>
      <c r="BE30" s="861"/>
      <c r="BF30" s="861"/>
      <c r="BG30" s="861"/>
      <c r="BH30" s="861"/>
      <c r="BI30" s="861"/>
      <c r="BJ30" s="861"/>
      <c r="BK30" s="861"/>
      <c r="BL30" s="861"/>
      <c r="BM30" s="861"/>
      <c r="BN30" s="861"/>
      <c r="BO30" s="861"/>
      <c r="BP30" s="861"/>
      <c r="BQ30" s="861"/>
      <c r="BR30" s="861"/>
      <c r="BS30" s="861"/>
      <c r="BT30" s="861"/>
    </row>
    <row r="31" spans="1:72" ht="12.75" customHeight="1" outlineLevel="1" thickBot="1">
      <c r="A31" s="285"/>
      <c r="B31" s="816"/>
      <c r="C31" s="816"/>
      <c r="D31" s="816"/>
      <c r="E31" s="816"/>
      <c r="F31" s="816"/>
      <c r="G31" s="817"/>
      <c r="H31" s="817"/>
      <c r="I31" s="817"/>
      <c r="J31" s="817"/>
      <c r="K31" s="289"/>
      <c r="L31" s="818"/>
      <c r="M31" s="818"/>
      <c r="N31" s="818"/>
      <c r="O31" s="818"/>
      <c r="P31" s="290"/>
      <c r="Q31" s="293"/>
      <c r="R31" s="819"/>
      <c r="S31" s="819"/>
      <c r="T31" s="819"/>
      <c r="U31" s="861"/>
      <c r="V31" s="861"/>
      <c r="W31" s="861"/>
      <c r="X31" s="861"/>
      <c r="Y31" s="861"/>
      <c r="Z31" s="861"/>
      <c r="AA31" s="861"/>
      <c r="AB31" s="861"/>
      <c r="AC31" s="861"/>
      <c r="AD31" s="861"/>
      <c r="AE31" s="861"/>
      <c r="AF31" s="861"/>
      <c r="AG31" s="861"/>
      <c r="AH31" s="861"/>
      <c r="AI31" s="861"/>
      <c r="AJ31" s="861"/>
      <c r="AK31" s="861"/>
      <c r="AL31" s="861"/>
      <c r="AM31" s="861"/>
      <c r="AN31" s="861"/>
      <c r="AO31" s="861"/>
      <c r="AP31" s="861"/>
      <c r="AQ31" s="861"/>
      <c r="AR31" s="861"/>
      <c r="AS31" s="861"/>
      <c r="AT31" s="861"/>
      <c r="AU31" s="861"/>
      <c r="AV31" s="861"/>
      <c r="AW31" s="861"/>
      <c r="AX31" s="861"/>
      <c r="AY31" s="861"/>
      <c r="AZ31" s="861"/>
      <c r="BA31" s="861"/>
      <c r="BB31" s="861"/>
      <c r="BC31" s="861"/>
      <c r="BD31" s="861"/>
      <c r="BE31" s="861"/>
      <c r="BF31" s="861"/>
      <c r="BG31" s="861"/>
      <c r="BH31" s="861"/>
      <c r="BI31" s="861"/>
      <c r="BJ31" s="861"/>
      <c r="BK31" s="861"/>
      <c r="BL31" s="861"/>
      <c r="BM31" s="861"/>
      <c r="BN31" s="861"/>
      <c r="BO31" s="861"/>
      <c r="BP31" s="861"/>
      <c r="BQ31" s="861"/>
      <c r="BR31" s="861"/>
      <c r="BS31" s="861"/>
      <c r="BT31" s="861"/>
    </row>
    <row r="32" spans="1:72" ht="13.5" customHeight="1" outlineLevel="1" thickBot="1">
      <c r="A32" s="285"/>
      <c r="B32" s="820"/>
      <c r="C32" s="820"/>
      <c r="D32" s="820"/>
      <c r="E32" s="820"/>
      <c r="F32" s="820"/>
      <c r="G32" s="817"/>
      <c r="H32" s="817"/>
      <c r="I32" s="817"/>
      <c r="J32" s="817"/>
      <c r="K32" s="289"/>
      <c r="L32" s="818"/>
      <c r="M32" s="818"/>
      <c r="N32" s="818"/>
      <c r="O32" s="818"/>
      <c r="P32" s="290"/>
      <c r="Q32" s="293"/>
      <c r="R32" s="819"/>
      <c r="S32" s="819"/>
      <c r="T32" s="819"/>
      <c r="U32" s="861"/>
      <c r="V32" s="861"/>
      <c r="W32" s="861"/>
      <c r="X32" s="861"/>
      <c r="Y32" s="861"/>
      <c r="Z32" s="861"/>
      <c r="AA32" s="861"/>
      <c r="AB32" s="861"/>
      <c r="AC32" s="861"/>
      <c r="AD32" s="861"/>
      <c r="AE32" s="861"/>
      <c r="AF32" s="861"/>
      <c r="AG32" s="861"/>
      <c r="AH32" s="861"/>
      <c r="AI32" s="861"/>
      <c r="AJ32" s="861"/>
      <c r="AK32" s="861"/>
      <c r="AL32" s="861"/>
      <c r="AM32" s="861"/>
      <c r="AN32" s="861"/>
      <c r="AO32" s="861"/>
      <c r="AP32" s="861"/>
      <c r="AQ32" s="861"/>
      <c r="AR32" s="861"/>
      <c r="AS32" s="861"/>
      <c r="AT32" s="861"/>
      <c r="AU32" s="861"/>
      <c r="AV32" s="861"/>
      <c r="AW32" s="861"/>
      <c r="AX32" s="861"/>
      <c r="AY32" s="861"/>
      <c r="AZ32" s="861"/>
      <c r="BA32" s="861"/>
      <c r="BB32" s="861"/>
      <c r="BC32" s="861"/>
      <c r="BD32" s="861"/>
      <c r="BE32" s="861"/>
      <c r="BF32" s="861"/>
      <c r="BG32" s="861"/>
      <c r="BH32" s="861"/>
      <c r="BI32" s="861"/>
      <c r="BJ32" s="861"/>
      <c r="BK32" s="861"/>
      <c r="BL32" s="861"/>
      <c r="BM32" s="861"/>
      <c r="BN32" s="861"/>
      <c r="BO32" s="861"/>
      <c r="BP32" s="861"/>
      <c r="BQ32" s="861"/>
      <c r="BR32" s="861"/>
      <c r="BS32" s="861"/>
      <c r="BT32" s="861"/>
    </row>
    <row r="33" spans="1:72" ht="13.5" customHeight="1" thickBot="1">
      <c r="A33" s="285"/>
      <c r="B33" s="809"/>
      <c r="C33" s="809"/>
      <c r="D33" s="809"/>
      <c r="E33" s="809"/>
      <c r="F33" s="809"/>
      <c r="G33" s="810"/>
      <c r="H33" s="810"/>
      <c r="I33" s="810"/>
      <c r="J33" s="810"/>
      <c r="K33" s="295"/>
      <c r="L33" s="811"/>
      <c r="M33" s="811"/>
      <c r="N33" s="811"/>
      <c r="O33" s="811"/>
      <c r="P33" s="296"/>
      <c r="Q33" s="297"/>
      <c r="R33" s="810"/>
      <c r="S33" s="810"/>
      <c r="T33" s="810"/>
      <c r="U33" s="861"/>
      <c r="V33" s="861"/>
      <c r="W33" s="861"/>
      <c r="X33" s="861"/>
      <c r="Y33" s="861"/>
      <c r="Z33" s="861"/>
      <c r="AA33" s="861"/>
      <c r="AB33" s="861"/>
      <c r="AC33" s="861"/>
      <c r="AD33" s="861"/>
      <c r="AE33" s="861"/>
      <c r="AF33" s="861"/>
      <c r="AG33" s="861"/>
      <c r="AH33" s="861"/>
      <c r="AI33" s="861"/>
      <c r="AJ33" s="861"/>
      <c r="AK33" s="861"/>
      <c r="AL33" s="861"/>
      <c r="AM33" s="861"/>
      <c r="AN33" s="861"/>
      <c r="AO33" s="861"/>
      <c r="AP33" s="861"/>
      <c r="AQ33" s="861"/>
      <c r="AR33" s="861"/>
      <c r="AS33" s="861"/>
      <c r="AT33" s="861"/>
      <c r="AU33" s="861"/>
      <c r="AV33" s="861"/>
      <c r="AW33" s="861"/>
      <c r="AX33" s="861"/>
      <c r="AY33" s="861"/>
      <c r="AZ33" s="861"/>
      <c r="BA33" s="861"/>
      <c r="BB33" s="861"/>
      <c r="BC33" s="861"/>
      <c r="BD33" s="861"/>
      <c r="BE33" s="861"/>
      <c r="BF33" s="861"/>
      <c r="BG33" s="861"/>
      <c r="BH33" s="861"/>
      <c r="BI33" s="861"/>
      <c r="BJ33" s="861"/>
      <c r="BK33" s="861"/>
      <c r="BL33" s="861"/>
      <c r="BM33" s="861"/>
      <c r="BN33" s="861"/>
      <c r="BO33" s="861"/>
      <c r="BP33" s="861"/>
      <c r="BQ33" s="861"/>
      <c r="BR33" s="861"/>
      <c r="BS33" s="861"/>
      <c r="BT33" s="861"/>
    </row>
    <row r="34" spans="1:72" s="299" customFormat="1" ht="13.5" thickBot="1">
      <c r="A34" s="298"/>
      <c r="B34" s="812"/>
      <c r="C34" s="812"/>
      <c r="D34" s="812"/>
      <c r="E34" s="812"/>
      <c r="F34" s="812"/>
      <c r="G34" s="812"/>
      <c r="H34" s="812"/>
      <c r="I34" s="812"/>
      <c r="J34" s="812"/>
      <c r="K34" s="812"/>
      <c r="L34" s="812"/>
      <c r="M34" s="812"/>
      <c r="N34" s="812"/>
      <c r="O34" s="812"/>
      <c r="P34" s="812"/>
      <c r="Q34" s="812"/>
      <c r="R34" s="812"/>
      <c r="S34" s="812"/>
      <c r="T34" s="812"/>
      <c r="U34" s="861"/>
      <c r="V34" s="861"/>
      <c r="W34" s="861"/>
      <c r="X34" s="861"/>
      <c r="Y34" s="861"/>
      <c r="Z34" s="861"/>
      <c r="AA34" s="861"/>
      <c r="AB34" s="861"/>
      <c r="AC34" s="861"/>
      <c r="AD34" s="861"/>
      <c r="AE34" s="861"/>
      <c r="AF34" s="861"/>
      <c r="AG34" s="861"/>
      <c r="AH34" s="861"/>
      <c r="AI34" s="861"/>
      <c r="AJ34" s="861"/>
      <c r="AK34" s="861"/>
      <c r="AL34" s="861"/>
      <c r="AM34" s="861"/>
      <c r="AN34" s="861"/>
      <c r="AO34" s="861"/>
      <c r="AP34" s="861"/>
      <c r="AQ34" s="861"/>
      <c r="AR34" s="861"/>
      <c r="AS34" s="861"/>
      <c r="AT34" s="861"/>
      <c r="AU34" s="861"/>
      <c r="AV34" s="861"/>
      <c r="AW34" s="861"/>
      <c r="AX34" s="861"/>
      <c r="AY34" s="861"/>
      <c r="AZ34" s="861"/>
      <c r="BA34" s="861"/>
      <c r="BB34" s="861"/>
      <c r="BC34" s="861"/>
      <c r="BD34" s="861"/>
      <c r="BE34" s="861"/>
      <c r="BF34" s="861"/>
      <c r="BG34" s="861"/>
      <c r="BH34" s="861"/>
      <c r="BI34" s="861"/>
      <c r="BJ34" s="861"/>
      <c r="BK34" s="861"/>
      <c r="BL34" s="861"/>
      <c r="BM34" s="861"/>
      <c r="BN34" s="861"/>
      <c r="BO34" s="861"/>
      <c r="BP34" s="861"/>
      <c r="BQ34" s="861"/>
      <c r="BR34" s="861"/>
      <c r="BS34" s="861"/>
      <c r="BT34" s="861"/>
    </row>
    <row r="35" spans="1:72" s="299" customFormat="1" ht="13.5" thickBot="1">
      <c r="A35" s="298"/>
      <c r="B35" s="813" t="s">
        <v>194</v>
      </c>
      <c r="C35" s="813"/>
      <c r="D35" s="813"/>
      <c r="E35" s="813"/>
      <c r="F35" s="813"/>
      <c r="G35" s="813"/>
      <c r="H35" s="813"/>
      <c r="I35" s="813"/>
      <c r="J35" s="813"/>
      <c r="K35" s="300" t="s">
        <v>195</v>
      </c>
      <c r="L35" s="301" t="s">
        <v>196</v>
      </c>
      <c r="M35" s="814" t="s">
        <v>197</v>
      </c>
      <c r="N35" s="814"/>
      <c r="O35" s="302" t="s">
        <v>174</v>
      </c>
      <c r="P35" s="302" t="s">
        <v>198</v>
      </c>
      <c r="Q35" s="303" t="s">
        <v>199</v>
      </c>
      <c r="R35" s="302" t="s">
        <v>200</v>
      </c>
      <c r="S35" s="815" t="s">
        <v>201</v>
      </c>
      <c r="T35" s="815"/>
      <c r="U35" s="806" t="s">
        <v>202</v>
      </c>
      <c r="V35" s="806"/>
      <c r="W35" s="806"/>
      <c r="X35" s="806"/>
      <c r="Y35" s="806"/>
      <c r="Z35" s="806"/>
      <c r="AA35" s="806"/>
      <c r="AB35" s="806"/>
      <c r="AC35" s="806"/>
      <c r="AD35" s="806"/>
      <c r="AE35" s="806"/>
      <c r="AF35" s="806"/>
      <c r="AG35" s="806"/>
      <c r="AH35" s="806"/>
      <c r="AI35" s="806"/>
      <c r="AJ35" s="806"/>
      <c r="AK35" s="806"/>
      <c r="AL35" s="806"/>
      <c r="AM35" s="806"/>
      <c r="AN35" s="806"/>
      <c r="AO35" s="806"/>
      <c r="AP35" s="806"/>
      <c r="AQ35" s="806"/>
      <c r="AR35" s="806"/>
      <c r="AS35" s="806"/>
      <c r="AT35" s="806"/>
      <c r="AU35" s="806"/>
      <c r="AV35" s="806"/>
      <c r="AW35" s="806"/>
      <c r="AX35" s="806"/>
      <c r="AY35" s="806"/>
      <c r="AZ35" s="806"/>
      <c r="BA35" s="806"/>
      <c r="BB35" s="806"/>
      <c r="BC35" s="806"/>
      <c r="BD35" s="806"/>
      <c r="BE35" s="806"/>
      <c r="BF35" s="806"/>
      <c r="BG35" s="806"/>
      <c r="BH35" s="806"/>
      <c r="BI35" s="806"/>
      <c r="BJ35" s="806"/>
      <c r="BK35" s="806"/>
      <c r="BL35" s="806"/>
      <c r="BM35" s="806"/>
      <c r="BN35" s="806"/>
      <c r="BO35" s="806"/>
      <c r="BP35" s="806"/>
      <c r="BQ35" s="806"/>
      <c r="BR35" s="806"/>
      <c r="BS35" s="806"/>
      <c r="BT35" s="806"/>
    </row>
    <row r="36" spans="1:72" s="299" customFormat="1" ht="13.5" thickBot="1">
      <c r="A36" s="298" t="s">
        <v>72</v>
      </c>
      <c r="B36" s="813"/>
      <c r="C36" s="813"/>
      <c r="D36" s="813"/>
      <c r="E36" s="813"/>
      <c r="F36" s="813"/>
      <c r="G36" s="813"/>
      <c r="H36" s="813"/>
      <c r="I36" s="813"/>
      <c r="J36" s="813"/>
      <c r="K36" s="304" t="s">
        <v>203</v>
      </c>
      <c r="L36" s="305" t="s">
        <v>204</v>
      </c>
      <c r="M36" s="807" t="s">
        <v>205</v>
      </c>
      <c r="N36" s="807"/>
      <c r="O36" s="306" t="s">
        <v>206</v>
      </c>
      <c r="P36" s="306" t="s">
        <v>175</v>
      </c>
      <c r="Q36" s="307" t="s">
        <v>207</v>
      </c>
      <c r="R36" s="306" t="s">
        <v>208</v>
      </c>
      <c r="S36" s="808"/>
      <c r="T36" s="808"/>
      <c r="U36" s="308">
        <v>1</v>
      </c>
      <c r="V36" s="309">
        <v>2</v>
      </c>
      <c r="W36" s="308">
        <v>3</v>
      </c>
      <c r="X36" s="309">
        <v>4</v>
      </c>
      <c r="Y36" s="308">
        <v>5</v>
      </c>
      <c r="Z36" s="309">
        <v>6</v>
      </c>
      <c r="AA36" s="308">
        <v>7</v>
      </c>
      <c r="AB36" s="309">
        <v>8</v>
      </c>
      <c r="AC36" s="308">
        <v>9</v>
      </c>
      <c r="AD36" s="309">
        <v>10</v>
      </c>
      <c r="AE36" s="308">
        <v>11</v>
      </c>
      <c r="AF36" s="309">
        <v>12</v>
      </c>
      <c r="AG36" s="308">
        <v>13</v>
      </c>
      <c r="AH36" s="309">
        <v>14</v>
      </c>
      <c r="AI36" s="308">
        <v>15</v>
      </c>
      <c r="AJ36" s="309">
        <v>16</v>
      </c>
      <c r="AK36" s="308">
        <v>17</v>
      </c>
      <c r="AL36" s="309">
        <v>18</v>
      </c>
      <c r="AM36" s="308">
        <v>19</v>
      </c>
      <c r="AN36" s="309">
        <v>20</v>
      </c>
      <c r="AO36" s="308">
        <v>21</v>
      </c>
      <c r="AP36" s="309">
        <v>22</v>
      </c>
      <c r="AQ36" s="308">
        <v>23</v>
      </c>
      <c r="AR36" s="309">
        <v>22</v>
      </c>
      <c r="AS36" s="308">
        <v>24</v>
      </c>
      <c r="AT36" s="309">
        <v>26</v>
      </c>
      <c r="AU36" s="308">
        <v>27</v>
      </c>
      <c r="AV36" s="309">
        <v>28</v>
      </c>
      <c r="AW36" s="308">
        <v>29</v>
      </c>
      <c r="AX36" s="309">
        <v>30</v>
      </c>
      <c r="AY36" s="308">
        <v>31</v>
      </c>
      <c r="AZ36" s="309">
        <v>32</v>
      </c>
      <c r="BA36" s="308">
        <v>33</v>
      </c>
      <c r="BB36" s="309">
        <v>34</v>
      </c>
      <c r="BC36" s="308">
        <v>35</v>
      </c>
      <c r="BD36" s="309">
        <v>36</v>
      </c>
      <c r="BE36" s="308">
        <v>37</v>
      </c>
      <c r="BF36" s="309">
        <v>38</v>
      </c>
      <c r="BG36" s="308">
        <v>39</v>
      </c>
      <c r="BH36" s="309">
        <v>40</v>
      </c>
      <c r="BI36" s="308">
        <v>41</v>
      </c>
      <c r="BJ36" s="309">
        <v>42</v>
      </c>
      <c r="BK36" s="308">
        <v>43</v>
      </c>
      <c r="BL36" s="309">
        <v>44</v>
      </c>
      <c r="BM36" s="308">
        <v>45</v>
      </c>
      <c r="BN36" s="309">
        <v>46</v>
      </c>
      <c r="BO36" s="308">
        <v>47</v>
      </c>
      <c r="BP36" s="309">
        <v>48</v>
      </c>
      <c r="BQ36" s="308">
        <v>49</v>
      </c>
      <c r="BR36" s="309">
        <v>50</v>
      </c>
      <c r="BS36" s="308">
        <v>51</v>
      </c>
      <c r="BT36" s="309">
        <v>52</v>
      </c>
    </row>
    <row r="37" spans="1:72" s="299" customFormat="1" ht="13.5" thickBot="1">
      <c r="A37" s="298"/>
      <c r="B37" s="1191"/>
      <c r="C37" s="1191"/>
      <c r="D37" s="1191"/>
      <c r="E37" s="1191"/>
      <c r="F37" s="1191"/>
      <c r="G37" s="1191"/>
      <c r="H37" s="1191"/>
      <c r="I37" s="1191"/>
      <c r="J37" s="1191"/>
      <c r="K37" s="1192"/>
      <c r="L37" s="1193" t="s">
        <v>209</v>
      </c>
      <c r="M37" s="807" t="s">
        <v>175</v>
      </c>
      <c r="N37" s="807"/>
      <c r="O37" s="306" t="s">
        <v>175</v>
      </c>
      <c r="P37" s="306"/>
      <c r="Q37" s="307"/>
      <c r="R37" s="306" t="s">
        <v>210</v>
      </c>
      <c r="S37" s="1194" t="s">
        <v>72</v>
      </c>
      <c r="T37" s="1194"/>
      <c r="U37" s="310"/>
      <c r="V37" s="311"/>
      <c r="W37" s="310"/>
      <c r="X37" s="311"/>
      <c r="Y37" s="310"/>
      <c r="Z37" s="311"/>
      <c r="AA37" s="310"/>
      <c r="AB37" s="311"/>
      <c r="AC37" s="310"/>
      <c r="AD37" s="311"/>
      <c r="AE37" s="310"/>
      <c r="AF37" s="311"/>
      <c r="AG37" s="310"/>
      <c r="AH37" s="311"/>
      <c r="AI37" s="310"/>
      <c r="AJ37" s="311"/>
      <c r="AK37" s="310"/>
      <c r="AL37" s="311"/>
      <c r="AM37" s="310"/>
      <c r="AN37" s="311"/>
      <c r="AO37" s="310"/>
      <c r="AP37" s="311"/>
      <c r="AQ37" s="310"/>
      <c r="AR37" s="311"/>
      <c r="AS37" s="310"/>
      <c r="AT37" s="311"/>
      <c r="AU37" s="310"/>
      <c r="AV37" s="311"/>
      <c r="AW37" s="310"/>
      <c r="AX37" s="311"/>
      <c r="AY37" s="310"/>
      <c r="AZ37" s="311"/>
      <c r="BA37" s="310"/>
      <c r="BB37" s="311"/>
      <c r="BC37" s="310"/>
      <c r="BD37" s="311"/>
      <c r="BE37" s="310"/>
      <c r="BF37" s="311"/>
      <c r="BG37" s="310"/>
      <c r="BH37" s="311"/>
      <c r="BI37" s="310"/>
      <c r="BJ37" s="311"/>
      <c r="BK37" s="310"/>
      <c r="BL37" s="311"/>
      <c r="BM37" s="310"/>
      <c r="BN37" s="311"/>
      <c r="BO37" s="310"/>
      <c r="BP37" s="311"/>
      <c r="BQ37" s="310"/>
      <c r="BR37" s="311"/>
      <c r="BS37" s="310"/>
      <c r="BT37" s="311"/>
    </row>
    <row r="38" spans="1:72" s="299" customFormat="1" ht="15" customHeight="1" thickBot="1">
      <c r="A38" s="298"/>
      <c r="B38" s="1197" t="s">
        <v>211</v>
      </c>
      <c r="C38" s="1198"/>
      <c r="D38" s="1198"/>
      <c r="E38" s="1198"/>
      <c r="F38" s="1198"/>
      <c r="G38" s="1198"/>
      <c r="H38" s="1198"/>
      <c r="I38" s="1198"/>
      <c r="J38" s="1198"/>
      <c r="K38" s="1198"/>
      <c r="L38" s="1198"/>
      <c r="M38" s="1198"/>
      <c r="N38" s="1198"/>
      <c r="O38" s="1198"/>
      <c r="P38" s="1198"/>
      <c r="Q38" s="1198"/>
      <c r="R38" s="1198"/>
      <c r="S38" s="1198"/>
      <c r="T38" s="1199"/>
      <c r="U38" s="1190"/>
      <c r="V38" s="312"/>
      <c r="W38" s="313"/>
      <c r="X38" s="312"/>
      <c r="Y38" s="313"/>
      <c r="Z38" s="312"/>
      <c r="AA38" s="313"/>
      <c r="AB38" s="312"/>
      <c r="AC38" s="313"/>
      <c r="AD38" s="312"/>
      <c r="AE38" s="313"/>
      <c r="AF38" s="312"/>
      <c r="AG38" s="313"/>
      <c r="AH38" s="312"/>
      <c r="AI38" s="313"/>
      <c r="AJ38" s="312"/>
      <c r="AK38" s="313"/>
      <c r="AL38" s="312"/>
      <c r="AM38" s="313"/>
      <c r="AN38" s="312"/>
      <c r="AO38" s="313"/>
      <c r="AP38" s="312"/>
      <c r="AQ38" s="313"/>
      <c r="AR38" s="312"/>
      <c r="AS38" s="313"/>
      <c r="AT38" s="312"/>
      <c r="AU38" s="313"/>
      <c r="AV38" s="312"/>
      <c r="AW38" s="313"/>
      <c r="AX38" s="312"/>
      <c r="AY38" s="313"/>
      <c r="AZ38" s="312"/>
      <c r="BA38" s="313"/>
      <c r="BB38" s="312"/>
      <c r="BC38" s="313"/>
      <c r="BD38" s="312"/>
      <c r="BE38" s="313"/>
      <c r="BF38" s="312"/>
      <c r="BG38" s="313"/>
      <c r="BH38" s="312"/>
      <c r="BI38" s="313"/>
      <c r="BJ38" s="312"/>
      <c r="BK38" s="313"/>
      <c r="BL38" s="312"/>
      <c r="BM38" s="313"/>
      <c r="BN38" s="312"/>
      <c r="BO38" s="313"/>
      <c r="BP38" s="312"/>
      <c r="BQ38" s="313"/>
      <c r="BR38" s="312"/>
      <c r="BS38" s="313"/>
      <c r="BT38" s="312"/>
    </row>
    <row r="39" spans="1:72" s="299" customFormat="1" ht="15" customHeight="1">
      <c r="A39" s="298"/>
      <c r="B39" s="804" t="s">
        <v>212</v>
      </c>
      <c r="C39" s="804"/>
      <c r="D39" s="804"/>
      <c r="E39" s="804"/>
      <c r="F39" s="804"/>
      <c r="G39" s="804"/>
      <c r="H39" s="804"/>
      <c r="I39" s="804"/>
      <c r="J39" s="804"/>
      <c r="K39" s="318"/>
      <c r="L39" s="1154"/>
      <c r="M39" s="1178"/>
      <c r="N39" s="1178"/>
      <c r="O39" s="1195"/>
      <c r="P39" s="320"/>
      <c r="Q39" s="320"/>
      <c r="R39" s="320"/>
      <c r="S39" s="1196"/>
      <c r="T39" s="1196"/>
      <c r="U39" s="315"/>
      <c r="V39" s="316"/>
      <c r="W39" s="315"/>
      <c r="X39" s="316"/>
      <c r="Y39" s="315"/>
      <c r="Z39" s="316"/>
      <c r="AA39" s="315"/>
      <c r="AB39" s="316"/>
      <c r="AC39" s="315"/>
      <c r="AD39" s="316"/>
      <c r="AE39" s="315"/>
      <c r="AF39" s="316"/>
      <c r="AG39" s="315"/>
      <c r="AH39" s="316"/>
      <c r="AI39" s="315"/>
      <c r="AJ39" s="316"/>
      <c r="AK39" s="315"/>
      <c r="AL39" s="316"/>
      <c r="AM39" s="315"/>
      <c r="AN39" s="316"/>
      <c r="AO39" s="315"/>
      <c r="AP39" s="312"/>
      <c r="AQ39" s="315"/>
      <c r="AR39" s="316"/>
      <c r="AS39" s="315"/>
      <c r="AT39" s="316"/>
      <c r="AU39" s="315"/>
      <c r="AV39" s="316"/>
      <c r="AW39" s="315"/>
      <c r="AX39" s="316"/>
      <c r="AY39" s="315"/>
      <c r="AZ39" s="316"/>
      <c r="BA39" s="315"/>
      <c r="BB39" s="316"/>
      <c r="BC39" s="315"/>
      <c r="BD39" s="316"/>
      <c r="BE39" s="315"/>
      <c r="BF39" s="316"/>
      <c r="BG39" s="315"/>
      <c r="BH39" s="316"/>
      <c r="BI39" s="315"/>
      <c r="BJ39" s="316"/>
      <c r="BK39" s="315"/>
      <c r="BL39" s="316"/>
      <c r="BM39" s="315"/>
      <c r="BN39" s="316"/>
      <c r="BO39" s="315"/>
      <c r="BP39" s="316"/>
      <c r="BQ39" s="315"/>
      <c r="BR39" s="316"/>
      <c r="BS39" s="315"/>
      <c r="BT39" s="316"/>
    </row>
    <row r="40" spans="1:72" ht="15.75">
      <c r="A40" s="317"/>
      <c r="B40" s="797" t="s">
        <v>213</v>
      </c>
      <c r="C40" s="797"/>
      <c r="D40" s="797"/>
      <c r="E40" s="797"/>
      <c r="F40" s="797"/>
      <c r="G40" s="797"/>
      <c r="H40" s="797"/>
      <c r="I40" s="797"/>
      <c r="J40" s="797"/>
      <c r="K40" s="318"/>
      <c r="L40" s="1154"/>
      <c r="M40" s="1157"/>
      <c r="N40" s="1157"/>
      <c r="O40" s="1156"/>
      <c r="P40" s="319"/>
      <c r="Q40" s="320"/>
      <c r="R40" s="320"/>
      <c r="S40" s="799"/>
      <c r="T40" s="799"/>
      <c r="U40" s="315"/>
      <c r="V40" s="316"/>
      <c r="W40" s="315"/>
      <c r="X40" s="316"/>
      <c r="Y40" s="315"/>
      <c r="Z40" s="316"/>
      <c r="AA40" s="315"/>
      <c r="AB40" s="316"/>
      <c r="AC40" s="315"/>
      <c r="AD40" s="316"/>
      <c r="AE40" s="315"/>
      <c r="AF40" s="316"/>
      <c r="AG40" s="315"/>
      <c r="AH40" s="316"/>
      <c r="AI40" s="315"/>
      <c r="AJ40" s="316"/>
      <c r="AK40" s="315"/>
      <c r="AL40" s="316"/>
      <c r="AM40" s="315"/>
      <c r="AN40" s="316"/>
      <c r="AO40" s="315"/>
      <c r="AP40" s="312"/>
      <c r="AQ40" s="315"/>
      <c r="AR40" s="316"/>
      <c r="AS40" s="315"/>
      <c r="AT40" s="316"/>
      <c r="AU40" s="315"/>
      <c r="AV40" s="316"/>
      <c r="AW40" s="315"/>
      <c r="AX40" s="316"/>
      <c r="AY40" s="315"/>
      <c r="AZ40" s="316"/>
      <c r="BA40" s="315"/>
      <c r="BB40" s="316"/>
      <c r="BC40" s="315"/>
      <c r="BD40" s="316"/>
      <c r="BE40" s="315"/>
      <c r="BF40" s="316"/>
      <c r="BG40" s="315"/>
      <c r="BH40" s="316"/>
      <c r="BI40" s="315"/>
      <c r="BJ40" s="316"/>
      <c r="BK40" s="315"/>
      <c r="BL40" s="316"/>
      <c r="BM40" s="315"/>
      <c r="BN40" s="316"/>
      <c r="BO40" s="315"/>
      <c r="BP40" s="316"/>
      <c r="BQ40" s="315"/>
      <c r="BR40" s="316"/>
      <c r="BS40" s="315"/>
      <c r="BT40" s="316"/>
    </row>
    <row r="41" spans="1:72" ht="15.75" outlineLevel="1">
      <c r="A41" s="317"/>
      <c r="B41" s="797" t="s">
        <v>214</v>
      </c>
      <c r="C41" s="797"/>
      <c r="D41" s="797"/>
      <c r="E41" s="797"/>
      <c r="F41" s="797"/>
      <c r="G41" s="797"/>
      <c r="H41" s="797"/>
      <c r="I41" s="797"/>
      <c r="J41" s="797"/>
      <c r="K41" s="321"/>
      <c r="L41" s="1155"/>
      <c r="M41" s="1157"/>
      <c r="N41" s="1157"/>
      <c r="O41" s="1156"/>
      <c r="P41" s="319"/>
      <c r="Q41" s="322"/>
      <c r="R41" s="323"/>
      <c r="S41" s="794"/>
      <c r="T41" s="794"/>
      <c r="U41" s="315"/>
      <c r="V41" s="316"/>
      <c r="W41" s="315"/>
      <c r="X41" s="316"/>
      <c r="Y41" s="315"/>
      <c r="Z41" s="316"/>
      <c r="AA41" s="315"/>
      <c r="AB41" s="316"/>
      <c r="AC41" s="315"/>
      <c r="AD41" s="316"/>
      <c r="AE41" s="315"/>
      <c r="AF41" s="316"/>
      <c r="AG41" s="315"/>
      <c r="AH41" s="316"/>
      <c r="AI41" s="315"/>
      <c r="AJ41" s="316"/>
      <c r="AK41" s="315"/>
      <c r="AL41" s="316"/>
      <c r="AM41" s="315"/>
      <c r="AN41" s="316"/>
      <c r="AO41" s="315"/>
      <c r="AP41" s="312"/>
      <c r="AQ41" s="315"/>
      <c r="AR41" s="316"/>
      <c r="AS41" s="315"/>
      <c r="AT41" s="316"/>
      <c r="AU41" s="315"/>
      <c r="AV41" s="316"/>
      <c r="AW41" s="315"/>
      <c r="AX41" s="316"/>
      <c r="AY41" s="315"/>
      <c r="AZ41" s="316"/>
      <c r="BA41" s="315"/>
      <c r="BB41" s="316"/>
      <c r="BC41" s="315"/>
      <c r="BD41" s="316"/>
      <c r="BE41" s="315"/>
      <c r="BF41" s="316"/>
      <c r="BG41" s="315"/>
      <c r="BH41" s="316"/>
      <c r="BI41" s="315"/>
      <c r="BJ41" s="316"/>
      <c r="BK41" s="315"/>
      <c r="BL41" s="316"/>
      <c r="BM41" s="315"/>
      <c r="BN41" s="316"/>
      <c r="BO41" s="315"/>
      <c r="BP41" s="316"/>
      <c r="BQ41" s="315"/>
      <c r="BR41" s="316"/>
      <c r="BS41" s="315"/>
      <c r="BT41" s="316"/>
    </row>
    <row r="42" spans="1:72" ht="15.75" outlineLevel="1">
      <c r="A42" s="317"/>
      <c r="B42" s="788" t="s">
        <v>215</v>
      </c>
      <c r="C42" s="788"/>
      <c r="D42" s="788"/>
      <c r="E42" s="788"/>
      <c r="F42" s="788"/>
      <c r="G42" s="788"/>
      <c r="H42" s="788"/>
      <c r="I42" s="788"/>
      <c r="J42" s="788"/>
      <c r="K42" s="321"/>
      <c r="L42" s="1155"/>
      <c r="M42" s="1157"/>
      <c r="N42" s="1157"/>
      <c r="O42" s="1156"/>
      <c r="P42" s="319"/>
      <c r="Q42" s="324"/>
      <c r="R42" s="325"/>
      <c r="S42" s="802"/>
      <c r="T42" s="802"/>
      <c r="U42" s="315"/>
      <c r="V42" s="316"/>
      <c r="W42" s="315"/>
      <c r="X42" s="316"/>
      <c r="Y42" s="315"/>
      <c r="Z42" s="316"/>
      <c r="AA42" s="315"/>
      <c r="AB42" s="316"/>
      <c r="AC42" s="315"/>
      <c r="AD42" s="316"/>
      <c r="AE42" s="315"/>
      <c r="AF42" s="316"/>
      <c r="AG42" s="315"/>
      <c r="AH42" s="316"/>
      <c r="AI42" s="315"/>
      <c r="AJ42" s="316"/>
      <c r="AK42" s="315"/>
      <c r="AL42" s="316"/>
      <c r="AM42" s="315"/>
      <c r="AN42" s="316"/>
      <c r="AO42" s="315"/>
      <c r="AP42" s="312"/>
      <c r="AQ42" s="315"/>
      <c r="AR42" s="316"/>
      <c r="AS42" s="315"/>
      <c r="AT42" s="316"/>
      <c r="AU42" s="315"/>
      <c r="AV42" s="316"/>
      <c r="AW42" s="315"/>
      <c r="AX42" s="316"/>
      <c r="AY42" s="315"/>
      <c r="AZ42" s="316"/>
      <c r="BA42" s="315"/>
      <c r="BB42" s="316"/>
      <c r="BC42" s="315"/>
      <c r="BD42" s="316"/>
      <c r="BE42" s="315"/>
      <c r="BF42" s="316"/>
      <c r="BG42" s="315"/>
      <c r="BH42" s="316"/>
      <c r="BI42" s="315"/>
      <c r="BJ42" s="316"/>
      <c r="BK42" s="315"/>
      <c r="BL42" s="316"/>
      <c r="BM42" s="315"/>
      <c r="BN42" s="316"/>
      <c r="BO42" s="315"/>
      <c r="BP42" s="316"/>
      <c r="BQ42" s="315"/>
      <c r="BR42" s="316"/>
      <c r="BS42" s="315"/>
      <c r="BT42" s="316"/>
    </row>
    <row r="43" spans="1:72" ht="15.75" outlineLevel="1">
      <c r="A43" s="317"/>
      <c r="B43" s="788" t="s">
        <v>216</v>
      </c>
      <c r="C43" s="788"/>
      <c r="D43" s="788"/>
      <c r="E43" s="788"/>
      <c r="F43" s="788"/>
      <c r="G43" s="788"/>
      <c r="H43" s="788"/>
      <c r="I43" s="788"/>
      <c r="J43" s="788"/>
      <c r="K43" s="321"/>
      <c r="L43" s="1155"/>
      <c r="M43" s="1157"/>
      <c r="N43" s="1157"/>
      <c r="O43" s="1156"/>
      <c r="P43" s="319"/>
      <c r="Q43" s="322"/>
      <c r="R43" s="326"/>
      <c r="S43" s="794"/>
      <c r="T43" s="794"/>
      <c r="U43" s="315"/>
      <c r="V43" s="316"/>
      <c r="W43" s="315"/>
      <c r="X43" s="316"/>
      <c r="Y43" s="315"/>
      <c r="Z43" s="316"/>
      <c r="AA43" s="315"/>
      <c r="AB43" s="316"/>
      <c r="AC43" s="315"/>
      <c r="AD43" s="316"/>
      <c r="AE43" s="315"/>
      <c r="AF43" s="316"/>
      <c r="AG43" s="315"/>
      <c r="AH43" s="316"/>
      <c r="AI43" s="315"/>
      <c r="AJ43" s="316"/>
      <c r="AK43" s="315"/>
      <c r="AL43" s="316"/>
      <c r="AM43" s="315"/>
      <c r="AN43" s="316"/>
      <c r="AO43" s="315"/>
      <c r="AP43" s="312"/>
      <c r="AQ43" s="315"/>
      <c r="AR43" s="316"/>
      <c r="AS43" s="315"/>
      <c r="AT43" s="316"/>
      <c r="AU43" s="315"/>
      <c r="AV43" s="316"/>
      <c r="AW43" s="315"/>
      <c r="AX43" s="316"/>
      <c r="AY43" s="315"/>
      <c r="AZ43" s="316"/>
      <c r="BA43" s="315"/>
      <c r="BB43" s="316"/>
      <c r="BC43" s="315"/>
      <c r="BD43" s="316"/>
      <c r="BE43" s="315"/>
      <c r="BF43" s="316"/>
      <c r="BG43" s="315"/>
      <c r="BH43" s="316"/>
      <c r="BI43" s="315"/>
      <c r="BJ43" s="316"/>
      <c r="BK43" s="315"/>
      <c r="BL43" s="316"/>
      <c r="BM43" s="315"/>
      <c r="BN43" s="316"/>
      <c r="BO43" s="315"/>
      <c r="BP43" s="316"/>
      <c r="BQ43" s="315"/>
      <c r="BR43" s="316"/>
      <c r="BS43" s="315"/>
      <c r="BT43" s="316"/>
    </row>
    <row r="44" spans="1:72" ht="15.75" outlineLevel="1">
      <c r="A44" s="317"/>
      <c r="B44" s="788" t="s">
        <v>217</v>
      </c>
      <c r="C44" s="788"/>
      <c r="D44" s="788"/>
      <c r="E44" s="788"/>
      <c r="F44" s="788"/>
      <c r="G44" s="788"/>
      <c r="H44" s="788"/>
      <c r="I44" s="788"/>
      <c r="J44" s="788"/>
      <c r="K44" s="321"/>
      <c r="L44" s="1155"/>
      <c r="M44" s="1157"/>
      <c r="N44" s="1157"/>
      <c r="O44" s="1156"/>
      <c r="P44" s="319"/>
      <c r="Q44" s="322"/>
      <c r="R44" s="323"/>
      <c r="S44" s="794"/>
      <c r="T44" s="794"/>
      <c r="U44" s="315"/>
      <c r="V44" s="316"/>
      <c r="W44" s="315"/>
      <c r="X44" s="316"/>
      <c r="Y44" s="315"/>
      <c r="Z44" s="316"/>
      <c r="AA44" s="315"/>
      <c r="AB44" s="316"/>
      <c r="AC44" s="315"/>
      <c r="AD44" s="316"/>
      <c r="AE44" s="315"/>
      <c r="AF44" s="316"/>
      <c r="AG44" s="315"/>
      <c r="AH44" s="316"/>
      <c r="AI44" s="315"/>
      <c r="AJ44" s="316"/>
      <c r="AK44" s="315"/>
      <c r="AL44" s="316"/>
      <c r="AM44" s="315"/>
      <c r="AN44" s="316"/>
      <c r="AO44" s="315"/>
      <c r="AP44" s="312"/>
      <c r="AQ44" s="315"/>
      <c r="AR44" s="316"/>
      <c r="AS44" s="315"/>
      <c r="AT44" s="316"/>
      <c r="AU44" s="315"/>
      <c r="AV44" s="316"/>
      <c r="AW44" s="315"/>
      <c r="AX44" s="316"/>
      <c r="AY44" s="315"/>
      <c r="AZ44" s="316"/>
      <c r="BA44" s="315"/>
      <c r="BB44" s="316"/>
      <c r="BC44" s="315"/>
      <c r="BD44" s="316"/>
      <c r="BE44" s="315"/>
      <c r="BF44" s="316"/>
      <c r="BG44" s="315"/>
      <c r="BH44" s="316"/>
      <c r="BI44" s="315"/>
      <c r="BJ44" s="316"/>
      <c r="BK44" s="315"/>
      <c r="BL44" s="316"/>
      <c r="BM44" s="315"/>
      <c r="BN44" s="316"/>
      <c r="BO44" s="315"/>
      <c r="BP44" s="316"/>
      <c r="BQ44" s="315"/>
      <c r="BR44" s="316"/>
      <c r="BS44" s="315"/>
      <c r="BT44" s="316"/>
    </row>
    <row r="45" spans="1:72" ht="15.75" outlineLevel="1">
      <c r="A45" s="317"/>
      <c r="B45" s="788" t="s">
        <v>218</v>
      </c>
      <c r="C45" s="788"/>
      <c r="D45" s="788"/>
      <c r="E45" s="788"/>
      <c r="F45" s="788"/>
      <c r="G45" s="788"/>
      <c r="H45" s="788"/>
      <c r="I45" s="788"/>
      <c r="J45" s="788"/>
      <c r="K45" s="321"/>
      <c r="L45" s="1155"/>
      <c r="M45" s="1157"/>
      <c r="N45" s="1157"/>
      <c r="O45" s="1156"/>
      <c r="P45" s="314"/>
      <c r="Q45" s="322"/>
      <c r="R45" s="326"/>
      <c r="S45" s="794"/>
      <c r="T45" s="794"/>
      <c r="U45" s="315"/>
      <c r="V45" s="316"/>
      <c r="W45" s="315"/>
      <c r="X45" s="316"/>
      <c r="Y45" s="315"/>
      <c r="Z45" s="316"/>
      <c r="AA45" s="315"/>
      <c r="AB45" s="316"/>
      <c r="AC45" s="315"/>
      <c r="AD45" s="316"/>
      <c r="AE45" s="315"/>
      <c r="AF45" s="316"/>
      <c r="AG45" s="315"/>
      <c r="AH45" s="316"/>
      <c r="AI45" s="315"/>
      <c r="AJ45" s="316"/>
      <c r="AK45" s="315"/>
      <c r="AL45" s="316"/>
      <c r="AM45" s="315"/>
      <c r="AN45" s="316"/>
      <c r="AO45" s="315"/>
      <c r="AP45" s="312"/>
      <c r="AQ45" s="315"/>
      <c r="AR45" s="316"/>
      <c r="AS45" s="315"/>
      <c r="AT45" s="316"/>
      <c r="AU45" s="315"/>
      <c r="AV45" s="316"/>
      <c r="AW45" s="315"/>
      <c r="AX45" s="316"/>
      <c r="AY45" s="315"/>
      <c r="AZ45" s="316"/>
      <c r="BA45" s="315"/>
      <c r="BB45" s="316"/>
      <c r="BC45" s="315"/>
      <c r="BD45" s="316"/>
      <c r="BE45" s="315"/>
      <c r="BF45" s="316"/>
      <c r="BG45" s="315"/>
      <c r="BH45" s="316"/>
      <c r="BI45" s="315"/>
      <c r="BJ45" s="316"/>
      <c r="BK45" s="315"/>
      <c r="BL45" s="316"/>
      <c r="BM45" s="315"/>
      <c r="BN45" s="316"/>
      <c r="BO45" s="315"/>
      <c r="BP45" s="316"/>
      <c r="BQ45" s="315"/>
      <c r="BR45" s="316"/>
      <c r="BS45" s="315"/>
      <c r="BT45" s="316"/>
    </row>
    <row r="46" spans="1:72" ht="15" customHeight="1" outlineLevel="1">
      <c r="A46" s="317"/>
      <c r="B46" s="788" t="s">
        <v>219</v>
      </c>
      <c r="C46" s="788"/>
      <c r="D46" s="788"/>
      <c r="E46" s="788"/>
      <c r="F46" s="788"/>
      <c r="G46" s="788"/>
      <c r="H46" s="788"/>
      <c r="I46" s="788"/>
      <c r="J46" s="788"/>
      <c r="K46" s="321"/>
      <c r="L46" s="1155"/>
      <c r="M46" s="1157"/>
      <c r="N46" s="1157"/>
      <c r="O46" s="1156"/>
      <c r="P46" s="319"/>
      <c r="Q46" s="322"/>
      <c r="R46" s="323"/>
      <c r="S46" s="794"/>
      <c r="T46" s="794"/>
      <c r="U46" s="315"/>
      <c r="V46" s="316"/>
      <c r="W46" s="315"/>
      <c r="X46" s="316"/>
      <c r="Y46" s="315"/>
      <c r="Z46" s="316"/>
      <c r="AA46" s="315"/>
      <c r="AB46" s="316"/>
      <c r="AC46" s="315"/>
      <c r="AD46" s="316"/>
      <c r="AE46" s="315"/>
      <c r="AF46" s="316"/>
      <c r="AG46" s="315"/>
      <c r="AH46" s="316"/>
      <c r="AI46" s="315"/>
      <c r="AJ46" s="316"/>
      <c r="AK46" s="315"/>
      <c r="AL46" s="316"/>
      <c r="AM46" s="315"/>
      <c r="AN46" s="316"/>
      <c r="AO46" s="315"/>
      <c r="AP46" s="312"/>
      <c r="AQ46" s="315"/>
      <c r="AR46" s="316"/>
      <c r="AS46" s="315"/>
      <c r="AT46" s="316"/>
      <c r="AU46" s="315"/>
      <c r="AV46" s="316"/>
      <c r="AW46" s="315"/>
      <c r="AX46" s="316"/>
      <c r="AY46" s="315"/>
      <c r="AZ46" s="316"/>
      <c r="BA46" s="315"/>
      <c r="BB46" s="316"/>
      <c r="BC46" s="315"/>
      <c r="BD46" s="316"/>
      <c r="BE46" s="315"/>
      <c r="BF46" s="316"/>
      <c r="BG46" s="315"/>
      <c r="BH46" s="316"/>
      <c r="BI46" s="315"/>
      <c r="BJ46" s="316"/>
      <c r="BK46" s="315"/>
      <c r="BL46" s="316"/>
      <c r="BM46" s="315"/>
      <c r="BN46" s="316"/>
      <c r="BO46" s="315"/>
      <c r="BP46" s="316"/>
      <c r="BQ46" s="315"/>
      <c r="BR46" s="316"/>
      <c r="BS46" s="315"/>
      <c r="BT46" s="316"/>
    </row>
    <row r="47" spans="1:72" ht="15.75" outlineLevel="1">
      <c r="A47" s="317"/>
      <c r="B47" s="805" t="s">
        <v>220</v>
      </c>
      <c r="C47" s="805"/>
      <c r="D47" s="805"/>
      <c r="E47" s="805"/>
      <c r="F47" s="805"/>
      <c r="G47" s="805"/>
      <c r="H47" s="805"/>
      <c r="I47" s="805"/>
      <c r="J47" s="805"/>
      <c r="K47" s="321"/>
      <c r="L47" s="1155"/>
      <c r="M47" s="1157"/>
      <c r="N47" s="1157"/>
      <c r="O47" s="1156"/>
      <c r="P47" s="314"/>
      <c r="Q47" s="326"/>
      <c r="R47" s="326"/>
      <c r="S47" s="794"/>
      <c r="T47" s="794"/>
      <c r="U47" s="315"/>
      <c r="V47" s="316"/>
      <c r="W47" s="315"/>
      <c r="X47" s="316"/>
      <c r="Y47" s="315"/>
      <c r="Z47" s="316"/>
      <c r="AA47" s="315"/>
      <c r="AB47" s="316"/>
      <c r="AC47" s="315"/>
      <c r="AD47" s="316"/>
      <c r="AE47" s="315"/>
      <c r="AF47" s="316"/>
      <c r="AG47" s="315"/>
      <c r="AH47" s="316"/>
      <c r="AI47" s="315"/>
      <c r="AJ47" s="316"/>
      <c r="AK47" s="315"/>
      <c r="AL47" s="316"/>
      <c r="AM47" s="315"/>
      <c r="AN47" s="316"/>
      <c r="AO47" s="315"/>
      <c r="AP47" s="312"/>
      <c r="AQ47" s="315"/>
      <c r="AR47" s="316"/>
      <c r="AS47" s="315"/>
      <c r="AT47" s="316"/>
      <c r="AU47" s="315"/>
      <c r="AV47" s="316"/>
      <c r="AW47" s="315"/>
      <c r="AX47" s="316"/>
      <c r="AY47" s="315"/>
      <c r="AZ47" s="316"/>
      <c r="BA47" s="315"/>
      <c r="BB47" s="316"/>
      <c r="BC47" s="315"/>
      <c r="BD47" s="316"/>
      <c r="BE47" s="315"/>
      <c r="BF47" s="316"/>
      <c r="BG47" s="315"/>
      <c r="BH47" s="316"/>
      <c r="BI47" s="315"/>
      <c r="BJ47" s="316"/>
      <c r="BK47" s="315"/>
      <c r="BL47" s="316"/>
      <c r="BM47" s="315"/>
      <c r="BN47" s="316"/>
      <c r="BO47" s="315"/>
      <c r="BP47" s="316"/>
      <c r="BQ47" s="315"/>
      <c r="BR47" s="316"/>
      <c r="BS47" s="315"/>
      <c r="BT47" s="316"/>
    </row>
    <row r="48" spans="1:72" ht="12.75" customHeight="1" outlineLevel="1">
      <c r="A48" s="317"/>
      <c r="B48" s="795" t="s">
        <v>221</v>
      </c>
      <c r="C48" s="795"/>
      <c r="D48" s="795"/>
      <c r="E48" s="795"/>
      <c r="F48" s="795"/>
      <c r="G48" s="795"/>
      <c r="H48" s="795"/>
      <c r="I48" s="795"/>
      <c r="J48" s="795"/>
      <c r="K48" s="321"/>
      <c r="L48" s="1155"/>
      <c r="M48" s="1157"/>
      <c r="N48" s="1157"/>
      <c r="O48" s="1156"/>
      <c r="P48" s="319"/>
      <c r="Q48" s="327"/>
      <c r="R48" s="323"/>
      <c r="S48" s="794"/>
      <c r="T48" s="794"/>
      <c r="U48" s="315"/>
      <c r="V48" s="316"/>
      <c r="W48" s="315"/>
      <c r="X48" s="316"/>
      <c r="Y48" s="315"/>
      <c r="Z48" s="316"/>
      <c r="AA48" s="315"/>
      <c r="AB48" s="316"/>
      <c r="AC48" s="315"/>
      <c r="AD48" s="316"/>
      <c r="AE48" s="315"/>
      <c r="AF48" s="316"/>
      <c r="AG48" s="315"/>
      <c r="AH48" s="316"/>
      <c r="AI48" s="315"/>
      <c r="AJ48" s="316"/>
      <c r="AK48" s="315"/>
      <c r="AL48" s="316"/>
      <c r="AM48" s="315"/>
      <c r="AN48" s="316"/>
      <c r="AO48" s="315"/>
      <c r="AP48" s="312"/>
      <c r="AQ48" s="315"/>
      <c r="AR48" s="316"/>
      <c r="AS48" s="315"/>
      <c r="AT48" s="316"/>
      <c r="AU48" s="315"/>
      <c r="AV48" s="316"/>
      <c r="AW48" s="315"/>
      <c r="AX48" s="316"/>
      <c r="AY48" s="315"/>
      <c r="AZ48" s="316"/>
      <c r="BA48" s="315"/>
      <c r="BB48" s="316"/>
      <c r="BC48" s="315"/>
      <c r="BD48" s="316"/>
      <c r="BE48" s="315"/>
      <c r="BF48" s="316"/>
      <c r="BG48" s="315"/>
      <c r="BH48" s="316"/>
      <c r="BI48" s="315"/>
      <c r="BJ48" s="316"/>
      <c r="BK48" s="315"/>
      <c r="BL48" s="316"/>
      <c r="BM48" s="315"/>
      <c r="BN48" s="316"/>
      <c r="BO48" s="315"/>
      <c r="BP48" s="316"/>
      <c r="BQ48" s="315"/>
      <c r="BR48" s="316"/>
      <c r="BS48" s="315"/>
      <c r="BT48" s="316"/>
    </row>
    <row r="49" spans="1:72" ht="15.75" customHeight="1" thickBot="1">
      <c r="A49" s="317"/>
      <c r="B49" s="1169" t="s">
        <v>222</v>
      </c>
      <c r="C49" s="1169"/>
      <c r="D49" s="1169"/>
      <c r="E49" s="1169"/>
      <c r="F49" s="1169"/>
      <c r="G49" s="1169"/>
      <c r="H49" s="1169"/>
      <c r="I49" s="1169"/>
      <c r="J49" s="1169"/>
      <c r="K49" s="1170"/>
      <c r="L49" s="1171"/>
      <c r="M49" s="1172"/>
      <c r="N49" s="1172"/>
      <c r="O49" s="1173"/>
      <c r="P49" s="1174"/>
      <c r="Q49" s="1175"/>
      <c r="R49" s="1176"/>
      <c r="S49" s="1177"/>
      <c r="T49" s="1177"/>
      <c r="U49" s="315"/>
      <c r="V49" s="316"/>
      <c r="W49" s="315"/>
      <c r="X49" s="316"/>
      <c r="Y49" s="315"/>
      <c r="Z49" s="316"/>
      <c r="AA49" s="315"/>
      <c r="AB49" s="316"/>
      <c r="AC49" s="315"/>
      <c r="AD49" s="316"/>
      <c r="AE49" s="315"/>
      <c r="AF49" s="316"/>
      <c r="AG49" s="315"/>
      <c r="AH49" s="316"/>
      <c r="AI49" s="315"/>
      <c r="AJ49" s="316"/>
      <c r="AK49" s="315"/>
      <c r="AL49" s="316"/>
      <c r="AM49" s="315"/>
      <c r="AN49" s="316"/>
      <c r="AO49" s="315"/>
      <c r="AP49" s="312"/>
      <c r="AQ49" s="315"/>
      <c r="AR49" s="316"/>
      <c r="AS49" s="315"/>
      <c r="AT49" s="316"/>
      <c r="AU49" s="315"/>
      <c r="AV49" s="316"/>
      <c r="AW49" s="315"/>
      <c r="AX49" s="316"/>
      <c r="AY49" s="315"/>
      <c r="AZ49" s="316"/>
      <c r="BA49" s="315"/>
      <c r="BB49" s="316"/>
      <c r="BC49" s="315"/>
      <c r="BD49" s="316"/>
      <c r="BE49" s="315"/>
      <c r="BF49" s="316"/>
      <c r="BG49" s="315"/>
      <c r="BH49" s="316"/>
      <c r="BI49" s="315"/>
      <c r="BJ49" s="316"/>
      <c r="BK49" s="315"/>
      <c r="BL49" s="316"/>
      <c r="BM49" s="315"/>
      <c r="BN49" s="316"/>
      <c r="BO49" s="315"/>
      <c r="BP49" s="316"/>
      <c r="BQ49" s="315"/>
      <c r="BR49" s="316"/>
      <c r="BS49" s="315"/>
      <c r="BT49" s="316"/>
    </row>
    <row r="50" spans="1:72" ht="15.75" customHeight="1" thickBot="1">
      <c r="A50" s="317"/>
      <c r="B50" s="1180" t="s">
        <v>223</v>
      </c>
      <c r="C50" s="1181"/>
      <c r="D50" s="1181"/>
      <c r="E50" s="1181"/>
      <c r="F50" s="1181"/>
      <c r="G50" s="1181"/>
      <c r="H50" s="1181"/>
      <c r="I50" s="1181"/>
      <c r="J50" s="1181"/>
      <c r="K50" s="1181"/>
      <c r="L50" s="1181"/>
      <c r="M50" s="1181"/>
      <c r="N50" s="1181"/>
      <c r="O50" s="1181"/>
      <c r="P50" s="1181"/>
      <c r="Q50" s="1181"/>
      <c r="R50" s="1181"/>
      <c r="S50" s="1181"/>
      <c r="T50" s="1182"/>
      <c r="U50" s="1168"/>
      <c r="V50" s="316"/>
      <c r="W50" s="315"/>
      <c r="X50" s="316"/>
      <c r="Y50" s="315"/>
      <c r="Z50" s="316"/>
      <c r="AA50" s="315"/>
      <c r="AB50" s="316"/>
      <c r="AC50" s="315"/>
      <c r="AD50" s="316"/>
      <c r="AE50" s="315"/>
      <c r="AF50" s="316"/>
      <c r="AG50" s="315"/>
      <c r="AH50" s="316"/>
      <c r="AI50" s="315"/>
      <c r="AJ50" s="316"/>
      <c r="AK50" s="315"/>
      <c r="AL50" s="316"/>
      <c r="AM50" s="315"/>
      <c r="AN50" s="316"/>
      <c r="AO50" s="315"/>
      <c r="AP50" s="312"/>
      <c r="AQ50" s="315"/>
      <c r="AR50" s="316"/>
      <c r="AS50" s="315"/>
      <c r="AT50" s="316"/>
      <c r="AU50" s="315"/>
      <c r="AV50" s="316"/>
      <c r="AW50" s="315"/>
      <c r="AX50" s="316"/>
      <c r="AY50" s="315"/>
      <c r="AZ50" s="316"/>
      <c r="BA50" s="315"/>
      <c r="BB50" s="316"/>
      <c r="BC50" s="315"/>
      <c r="BD50" s="316"/>
      <c r="BE50" s="315"/>
      <c r="BF50" s="316"/>
      <c r="BG50" s="315"/>
      <c r="BH50" s="316"/>
      <c r="BI50" s="315"/>
      <c r="BJ50" s="316"/>
      <c r="BK50" s="315"/>
      <c r="BL50" s="316"/>
      <c r="BM50" s="315"/>
      <c r="BN50" s="316"/>
      <c r="BO50" s="315"/>
      <c r="BP50" s="316"/>
      <c r="BQ50" s="315"/>
      <c r="BR50" s="316"/>
      <c r="BS50" s="315"/>
      <c r="BT50" s="316"/>
    </row>
    <row r="51" spans="1:72" ht="25.5" customHeight="1" outlineLevel="1">
      <c r="A51" s="317"/>
      <c r="B51" s="804" t="s">
        <v>224</v>
      </c>
      <c r="C51" s="804"/>
      <c r="D51" s="804"/>
      <c r="E51" s="804"/>
      <c r="F51" s="804"/>
      <c r="G51" s="804"/>
      <c r="H51" s="804"/>
      <c r="I51" s="804"/>
      <c r="J51" s="804"/>
      <c r="K51" s="328"/>
      <c r="L51" s="1154"/>
      <c r="M51" s="1178"/>
      <c r="N51" s="1178"/>
      <c r="O51" s="1158"/>
      <c r="P51" s="324"/>
      <c r="Q51" s="330"/>
      <c r="R51" s="1179"/>
      <c r="S51" s="802"/>
      <c r="T51" s="802"/>
      <c r="U51" s="315"/>
      <c r="V51" s="316"/>
      <c r="W51" s="315"/>
      <c r="X51" s="316"/>
      <c r="Y51" s="315"/>
      <c r="Z51" s="316"/>
      <c r="AA51" s="315"/>
      <c r="AB51" s="316"/>
      <c r="AC51" s="315"/>
      <c r="AD51" s="316"/>
      <c r="AE51" s="315"/>
      <c r="AF51" s="316"/>
      <c r="AG51" s="315"/>
      <c r="AH51" s="316"/>
      <c r="AI51" s="315"/>
      <c r="AJ51" s="316"/>
      <c r="AK51" s="315"/>
      <c r="AL51" s="316"/>
      <c r="AM51" s="315"/>
      <c r="AN51" s="316"/>
      <c r="AO51" s="315"/>
      <c r="AP51" s="312"/>
      <c r="AQ51" s="315"/>
      <c r="AR51" s="316"/>
      <c r="AS51" s="315"/>
      <c r="AT51" s="316"/>
      <c r="AU51" s="315"/>
      <c r="AV51" s="316"/>
      <c r="AW51" s="315"/>
      <c r="AX51" s="316"/>
      <c r="AY51" s="315"/>
      <c r="AZ51" s="316"/>
      <c r="BA51" s="315"/>
      <c r="BB51" s="316"/>
      <c r="BC51" s="315"/>
      <c r="BD51" s="316"/>
      <c r="BE51" s="315"/>
      <c r="BF51" s="316"/>
      <c r="BG51" s="315"/>
      <c r="BH51" s="316"/>
      <c r="BI51" s="315"/>
      <c r="BJ51" s="316"/>
      <c r="BK51" s="315"/>
      <c r="BL51" s="316"/>
      <c r="BM51" s="315"/>
      <c r="BN51" s="316"/>
      <c r="BO51" s="315"/>
      <c r="BP51" s="316"/>
      <c r="BQ51" s="315"/>
      <c r="BR51" s="316"/>
      <c r="BS51" s="315"/>
      <c r="BT51" s="316"/>
    </row>
    <row r="52" spans="1:72" ht="15.75">
      <c r="A52" s="317"/>
      <c r="B52" s="801" t="s">
        <v>225</v>
      </c>
      <c r="C52" s="801"/>
      <c r="D52" s="801"/>
      <c r="E52" s="801"/>
      <c r="F52" s="801"/>
      <c r="G52" s="801"/>
      <c r="H52" s="801"/>
      <c r="I52" s="801"/>
      <c r="J52" s="801"/>
      <c r="K52" s="321"/>
      <c r="L52" s="1154"/>
      <c r="M52" s="1161"/>
      <c r="N52" s="1162"/>
      <c r="O52" s="1159"/>
      <c r="P52" s="322"/>
      <c r="Q52" s="322"/>
      <c r="R52" s="326"/>
      <c r="S52" s="803"/>
      <c r="T52" s="803"/>
      <c r="U52" s="315"/>
      <c r="V52" s="316"/>
      <c r="W52" s="315"/>
      <c r="X52" s="316"/>
      <c r="Y52" s="315"/>
      <c r="Z52" s="316"/>
      <c r="AA52" s="315"/>
      <c r="AB52" s="316"/>
      <c r="AC52" s="315"/>
      <c r="AD52" s="316"/>
      <c r="AE52" s="315"/>
      <c r="AF52" s="316"/>
      <c r="AG52" s="315"/>
      <c r="AH52" s="316"/>
      <c r="AI52" s="315"/>
      <c r="AJ52" s="316"/>
      <c r="AK52" s="315"/>
      <c r="AL52" s="316"/>
      <c r="AM52" s="315"/>
      <c r="AN52" s="316"/>
      <c r="AO52" s="315"/>
      <c r="AP52" s="312"/>
      <c r="AQ52" s="315"/>
      <c r="AR52" s="316"/>
      <c r="AS52" s="315"/>
      <c r="AT52" s="316"/>
      <c r="AU52" s="315"/>
      <c r="AV52" s="316"/>
      <c r="AW52" s="315"/>
      <c r="AX52" s="316"/>
      <c r="AY52" s="315"/>
      <c r="AZ52" s="316"/>
      <c r="BA52" s="315"/>
      <c r="BB52" s="316"/>
      <c r="BC52" s="315"/>
      <c r="BD52" s="316"/>
      <c r="BE52" s="315"/>
      <c r="BF52" s="316"/>
      <c r="BG52" s="315"/>
      <c r="BH52" s="316"/>
      <c r="BI52" s="315"/>
      <c r="BJ52" s="316"/>
      <c r="BK52" s="315"/>
      <c r="BL52" s="316"/>
      <c r="BM52" s="315"/>
      <c r="BN52" s="316"/>
      <c r="BO52" s="315"/>
      <c r="BP52" s="316"/>
      <c r="BQ52" s="315"/>
      <c r="BR52" s="316"/>
      <c r="BS52" s="315"/>
      <c r="BT52" s="316"/>
    </row>
    <row r="53" spans="1:72" ht="15.75" outlineLevel="1">
      <c r="A53" s="317"/>
      <c r="B53" s="797" t="s">
        <v>226</v>
      </c>
      <c r="C53" s="797"/>
      <c r="D53" s="797"/>
      <c r="E53" s="797"/>
      <c r="F53" s="797"/>
      <c r="G53" s="797"/>
      <c r="H53" s="797"/>
      <c r="I53" s="797"/>
      <c r="J53" s="797"/>
      <c r="K53" s="321"/>
      <c r="L53" s="1154"/>
      <c r="M53" s="1157"/>
      <c r="N53" s="1157"/>
      <c r="O53" s="1159"/>
      <c r="P53" s="322"/>
      <c r="Q53" s="322"/>
      <c r="R53" s="323"/>
      <c r="S53" s="794"/>
      <c r="T53" s="794"/>
      <c r="U53" s="315"/>
      <c r="V53" s="316"/>
      <c r="W53" s="315"/>
      <c r="X53" s="316"/>
      <c r="Y53" s="315"/>
      <c r="Z53" s="316"/>
      <c r="AA53" s="315"/>
      <c r="AB53" s="316"/>
      <c r="AC53" s="315"/>
      <c r="AD53" s="316"/>
      <c r="AE53" s="315"/>
      <c r="AF53" s="316"/>
      <c r="AG53" s="315"/>
      <c r="AH53" s="316"/>
      <c r="AI53" s="315"/>
      <c r="AJ53" s="316"/>
      <c r="AK53" s="315"/>
      <c r="AL53" s="316"/>
      <c r="AM53" s="315"/>
      <c r="AN53" s="316"/>
      <c r="AO53" s="315"/>
      <c r="AP53" s="312"/>
      <c r="AQ53" s="315"/>
      <c r="AR53" s="316"/>
      <c r="AS53" s="315"/>
      <c r="AT53" s="316"/>
      <c r="AU53" s="315"/>
      <c r="AV53" s="316"/>
      <c r="AW53" s="315"/>
      <c r="AX53" s="316"/>
      <c r="AY53" s="315"/>
      <c r="AZ53" s="316"/>
      <c r="BA53" s="315"/>
      <c r="BB53" s="316"/>
      <c r="BC53" s="315"/>
      <c r="BD53" s="316"/>
      <c r="BE53" s="315"/>
      <c r="BF53" s="316"/>
      <c r="BG53" s="315"/>
      <c r="BH53" s="316"/>
      <c r="BI53" s="315"/>
      <c r="BJ53" s="316"/>
      <c r="BK53" s="315"/>
      <c r="BL53" s="316"/>
      <c r="BM53" s="315"/>
      <c r="BN53" s="316"/>
      <c r="BO53" s="315"/>
      <c r="BP53" s="316"/>
      <c r="BQ53" s="315"/>
      <c r="BR53" s="316"/>
      <c r="BS53" s="315"/>
      <c r="BT53" s="316"/>
    </row>
    <row r="54" spans="1:72" ht="15.75">
      <c r="A54" s="317"/>
      <c r="B54" s="800" t="s">
        <v>227</v>
      </c>
      <c r="C54" s="800"/>
      <c r="D54" s="800"/>
      <c r="E54" s="800"/>
      <c r="F54" s="800"/>
      <c r="G54" s="800"/>
      <c r="H54" s="800"/>
      <c r="I54" s="800"/>
      <c r="J54" s="800"/>
      <c r="K54" s="321"/>
      <c r="L54" s="1154"/>
      <c r="M54" s="1161"/>
      <c r="N54" s="1162"/>
      <c r="O54" s="1159"/>
      <c r="P54" s="322"/>
      <c r="Q54" s="322"/>
      <c r="R54" s="323"/>
      <c r="S54" s="794"/>
      <c r="T54" s="794"/>
      <c r="U54" s="315"/>
      <c r="V54" s="316"/>
      <c r="W54" s="315"/>
      <c r="X54" s="316"/>
      <c r="Y54" s="315"/>
      <c r="Z54" s="316"/>
      <c r="AA54" s="315"/>
      <c r="AB54" s="316"/>
      <c r="AC54" s="315"/>
      <c r="AD54" s="316"/>
      <c r="AE54" s="315"/>
      <c r="AF54" s="316"/>
      <c r="AG54" s="315"/>
      <c r="AH54" s="316"/>
      <c r="AI54" s="315"/>
      <c r="AJ54" s="316"/>
      <c r="AK54" s="315"/>
      <c r="AL54" s="316"/>
      <c r="AM54" s="315"/>
      <c r="AN54" s="316"/>
      <c r="AO54" s="315"/>
      <c r="AP54" s="312"/>
      <c r="AQ54" s="315"/>
      <c r="AR54" s="316"/>
      <c r="AS54" s="315"/>
      <c r="AT54" s="316"/>
      <c r="AU54" s="315"/>
      <c r="AV54" s="316"/>
      <c r="AW54" s="315"/>
      <c r="AX54" s="316"/>
      <c r="AY54" s="315"/>
      <c r="AZ54" s="316"/>
      <c r="BA54" s="315"/>
      <c r="BB54" s="316"/>
      <c r="BC54" s="315"/>
      <c r="BD54" s="316"/>
      <c r="BE54" s="315"/>
      <c r="BF54" s="316"/>
      <c r="BG54" s="315"/>
      <c r="BH54" s="316"/>
      <c r="BI54" s="315"/>
      <c r="BJ54" s="316"/>
      <c r="BK54" s="315"/>
      <c r="BL54" s="316"/>
      <c r="BM54" s="315"/>
      <c r="BN54" s="316"/>
      <c r="BO54" s="315"/>
      <c r="BP54" s="316"/>
      <c r="BQ54" s="315"/>
      <c r="BR54" s="316"/>
      <c r="BS54" s="315"/>
      <c r="BT54" s="316"/>
    </row>
    <row r="55" spans="1:72" ht="15.75">
      <c r="A55" s="317"/>
      <c r="B55" s="801" t="s">
        <v>228</v>
      </c>
      <c r="C55" s="801"/>
      <c r="D55" s="801"/>
      <c r="E55" s="801"/>
      <c r="F55" s="801"/>
      <c r="G55" s="801"/>
      <c r="H55" s="801"/>
      <c r="I55" s="801"/>
      <c r="J55" s="801"/>
      <c r="K55" s="321"/>
      <c r="L55" s="1155"/>
      <c r="M55" s="1161"/>
      <c r="N55" s="1162"/>
      <c r="O55" s="1160"/>
      <c r="P55" s="323"/>
      <c r="Q55" s="332"/>
      <c r="R55" s="323"/>
      <c r="S55" s="794"/>
      <c r="T55" s="794"/>
      <c r="U55" s="315"/>
      <c r="V55" s="316"/>
      <c r="W55" s="315"/>
      <c r="X55" s="316"/>
      <c r="Y55" s="315"/>
      <c r="Z55" s="316"/>
      <c r="AA55" s="315"/>
      <c r="AB55" s="316"/>
      <c r="AC55" s="315"/>
      <c r="AD55" s="316"/>
      <c r="AE55" s="315"/>
      <c r="AF55" s="316"/>
      <c r="AG55" s="315"/>
      <c r="AH55" s="316"/>
      <c r="AI55" s="315"/>
      <c r="AJ55" s="316"/>
      <c r="AK55" s="315"/>
      <c r="AL55" s="316"/>
      <c r="AM55" s="315"/>
      <c r="AN55" s="316"/>
      <c r="AO55" s="315"/>
      <c r="AP55" s="312"/>
      <c r="AQ55" s="315"/>
      <c r="AR55" s="316"/>
      <c r="AS55" s="315"/>
      <c r="AT55" s="316"/>
      <c r="AU55" s="315"/>
      <c r="AV55" s="316"/>
      <c r="AW55" s="315"/>
      <c r="AX55" s="316"/>
      <c r="AY55" s="315"/>
      <c r="AZ55" s="316"/>
      <c r="BA55" s="315"/>
      <c r="BB55" s="316"/>
      <c r="BC55" s="315"/>
      <c r="BD55" s="316"/>
      <c r="BE55" s="315"/>
      <c r="BF55" s="316"/>
      <c r="BG55" s="315"/>
      <c r="BH55" s="316"/>
      <c r="BI55" s="315"/>
      <c r="BJ55" s="316"/>
      <c r="BK55" s="315"/>
      <c r="BL55" s="316"/>
      <c r="BM55" s="315"/>
      <c r="BN55" s="316"/>
      <c r="BO55" s="315"/>
      <c r="BP55" s="316"/>
      <c r="BQ55" s="315"/>
      <c r="BR55" s="316"/>
      <c r="BS55" s="315"/>
      <c r="BT55" s="316"/>
    </row>
    <row r="56" spans="1:72" ht="15.75" outlineLevel="1">
      <c r="A56" s="317"/>
      <c r="B56" s="797" t="s">
        <v>229</v>
      </c>
      <c r="C56" s="797"/>
      <c r="D56" s="797"/>
      <c r="E56" s="797"/>
      <c r="F56" s="797"/>
      <c r="G56" s="797"/>
      <c r="H56" s="797"/>
      <c r="I56" s="797"/>
      <c r="J56" s="797"/>
      <c r="K56" s="321"/>
      <c r="L56" s="1154"/>
      <c r="M56" s="1161"/>
      <c r="N56" s="1162"/>
      <c r="O56" s="1159"/>
      <c r="P56" s="322"/>
      <c r="Q56" s="332"/>
      <c r="R56" s="323"/>
      <c r="S56" s="794"/>
      <c r="T56" s="794"/>
      <c r="U56" s="313"/>
      <c r="V56" s="312"/>
      <c r="W56" s="313"/>
      <c r="X56" s="312"/>
      <c r="Y56" s="313"/>
      <c r="Z56" s="312"/>
      <c r="AA56" s="313"/>
      <c r="AB56" s="312"/>
      <c r="AC56" s="313"/>
      <c r="AD56" s="312"/>
      <c r="AE56" s="313"/>
      <c r="AF56" s="312"/>
      <c r="AG56" s="313"/>
      <c r="AH56" s="312"/>
      <c r="AI56" s="313"/>
      <c r="AJ56" s="312"/>
      <c r="AK56" s="313"/>
      <c r="AL56" s="312"/>
      <c r="AM56" s="313"/>
      <c r="AN56" s="312"/>
      <c r="AO56" s="313"/>
      <c r="AP56" s="312"/>
      <c r="AQ56" s="315"/>
      <c r="AR56" s="316"/>
      <c r="AS56" s="313"/>
      <c r="AT56" s="312"/>
      <c r="AU56" s="313"/>
      <c r="AV56" s="312"/>
      <c r="AW56" s="313"/>
      <c r="AX56" s="312"/>
      <c r="AY56" s="313"/>
      <c r="AZ56" s="312"/>
      <c r="BA56" s="313"/>
      <c r="BB56" s="312"/>
      <c r="BC56" s="313"/>
      <c r="BD56" s="312"/>
      <c r="BE56" s="313"/>
      <c r="BF56" s="312"/>
      <c r="BG56" s="313"/>
      <c r="BH56" s="312"/>
      <c r="BI56" s="313"/>
      <c r="BJ56" s="312"/>
      <c r="BK56" s="313"/>
      <c r="BL56" s="312"/>
      <c r="BM56" s="313"/>
      <c r="BN56" s="312"/>
      <c r="BO56" s="313"/>
      <c r="BP56" s="312"/>
      <c r="BQ56" s="313"/>
      <c r="BR56" s="312"/>
      <c r="BS56" s="313"/>
      <c r="BT56" s="312"/>
    </row>
    <row r="57" spans="1:72" ht="15.75" outlineLevel="1">
      <c r="A57" s="317"/>
      <c r="B57" s="801" t="s">
        <v>230</v>
      </c>
      <c r="C57" s="801"/>
      <c r="D57" s="801"/>
      <c r="E57" s="801"/>
      <c r="F57" s="801"/>
      <c r="G57" s="801"/>
      <c r="H57" s="801"/>
      <c r="I57" s="801"/>
      <c r="J57" s="801"/>
      <c r="K57" s="321"/>
      <c r="L57" s="1154"/>
      <c r="M57" s="1161"/>
      <c r="N57" s="1162"/>
      <c r="O57" s="1159"/>
      <c r="P57" s="322"/>
      <c r="Q57" s="322"/>
      <c r="R57" s="326"/>
      <c r="S57" s="794"/>
      <c r="T57" s="794"/>
      <c r="U57" s="315"/>
      <c r="V57" s="316"/>
      <c r="W57" s="315"/>
      <c r="X57" s="316"/>
      <c r="Y57" s="315"/>
      <c r="Z57" s="316"/>
      <c r="AA57" s="315"/>
      <c r="AB57" s="316"/>
      <c r="AC57" s="315"/>
      <c r="AD57" s="316"/>
      <c r="AE57" s="315"/>
      <c r="AF57" s="316"/>
      <c r="AG57" s="315"/>
      <c r="AH57" s="316"/>
      <c r="AI57" s="315"/>
      <c r="AJ57" s="316"/>
      <c r="AK57" s="315"/>
      <c r="AL57" s="316"/>
      <c r="AM57" s="315"/>
      <c r="AN57" s="316"/>
      <c r="AO57" s="315"/>
      <c r="AP57" s="312"/>
      <c r="AQ57" s="315"/>
      <c r="AR57" s="316"/>
      <c r="AS57" s="315"/>
      <c r="AT57" s="316"/>
      <c r="AU57" s="315"/>
      <c r="AV57" s="316"/>
      <c r="AW57" s="315"/>
      <c r="AX57" s="316"/>
      <c r="AY57" s="315"/>
      <c r="AZ57" s="316"/>
      <c r="BA57" s="315"/>
      <c r="BB57" s="316"/>
      <c r="BC57" s="315"/>
      <c r="BD57" s="316"/>
      <c r="BE57" s="315"/>
      <c r="BF57" s="316"/>
      <c r="BG57" s="315"/>
      <c r="BH57" s="316"/>
      <c r="BI57" s="315"/>
      <c r="BJ57" s="316"/>
      <c r="BK57" s="315"/>
      <c r="BL57" s="316"/>
      <c r="BM57" s="315"/>
      <c r="BN57" s="316"/>
      <c r="BO57" s="315"/>
      <c r="BP57" s="316"/>
      <c r="BQ57" s="315"/>
      <c r="BR57" s="316"/>
      <c r="BS57" s="315"/>
      <c r="BT57" s="316"/>
    </row>
    <row r="58" spans="1:72" ht="15.75">
      <c r="A58" s="317"/>
      <c r="B58" s="801" t="s">
        <v>231</v>
      </c>
      <c r="C58" s="801"/>
      <c r="D58" s="801"/>
      <c r="E58" s="801"/>
      <c r="F58" s="801"/>
      <c r="G58" s="801"/>
      <c r="H58" s="801"/>
      <c r="I58" s="801"/>
      <c r="J58" s="801"/>
      <c r="K58" s="321"/>
      <c r="L58" s="1154"/>
      <c r="M58" s="1162"/>
      <c r="N58" s="1162"/>
      <c r="O58" s="1159"/>
      <c r="P58" s="322"/>
      <c r="Q58" s="332"/>
      <c r="R58" s="326"/>
      <c r="S58" s="794"/>
      <c r="T58" s="794"/>
      <c r="U58" s="315"/>
      <c r="V58" s="316"/>
      <c r="W58" s="315"/>
      <c r="X58" s="316"/>
      <c r="Y58" s="315"/>
      <c r="Z58" s="316"/>
      <c r="AA58" s="315"/>
      <c r="AB58" s="316"/>
      <c r="AC58" s="315"/>
      <c r="AD58" s="316"/>
      <c r="AE58" s="315"/>
      <c r="AF58" s="316"/>
      <c r="AG58" s="315"/>
      <c r="AH58" s="316"/>
      <c r="AI58" s="315"/>
      <c r="AJ58" s="316"/>
      <c r="AK58" s="315"/>
      <c r="AL58" s="316"/>
      <c r="AM58" s="315"/>
      <c r="AN58" s="316"/>
      <c r="AO58" s="315"/>
      <c r="AP58" s="312"/>
      <c r="AQ58" s="315"/>
      <c r="AR58" s="316"/>
      <c r="AS58" s="315"/>
      <c r="AT58" s="316"/>
      <c r="AU58" s="315"/>
      <c r="AV58" s="316"/>
      <c r="AW58" s="315"/>
      <c r="AX58" s="316"/>
      <c r="AY58" s="315"/>
      <c r="AZ58" s="316"/>
      <c r="BA58" s="315"/>
      <c r="BB58" s="316"/>
      <c r="BC58" s="315"/>
      <c r="BD58" s="316"/>
      <c r="BE58" s="315"/>
      <c r="BF58" s="316"/>
      <c r="BG58" s="315"/>
      <c r="BH58" s="316"/>
      <c r="BI58" s="315"/>
      <c r="BJ58" s="316"/>
      <c r="BK58" s="315"/>
      <c r="BL58" s="316"/>
      <c r="BM58" s="315"/>
      <c r="BN58" s="316"/>
      <c r="BO58" s="315"/>
      <c r="BP58" s="316"/>
      <c r="BQ58" s="315"/>
      <c r="BR58" s="316"/>
      <c r="BS58" s="315"/>
      <c r="BT58" s="316"/>
    </row>
    <row r="59" spans="1:72" ht="15.75" outlineLevel="1">
      <c r="A59" s="317"/>
      <c r="B59" s="797" t="s">
        <v>232</v>
      </c>
      <c r="C59" s="797"/>
      <c r="D59" s="797"/>
      <c r="E59" s="797"/>
      <c r="F59" s="797"/>
      <c r="G59" s="797"/>
      <c r="H59" s="797"/>
      <c r="I59" s="797"/>
      <c r="J59" s="797"/>
      <c r="K59" s="321"/>
      <c r="L59" s="1154"/>
      <c r="M59" s="1161"/>
      <c r="N59" s="1162"/>
      <c r="O59" s="1159"/>
      <c r="P59" s="322"/>
      <c r="Q59" s="322"/>
      <c r="R59" s="326"/>
      <c r="S59" s="794"/>
      <c r="T59" s="794"/>
      <c r="U59" s="315"/>
      <c r="V59" s="316"/>
      <c r="W59" s="315"/>
      <c r="X59" s="316"/>
      <c r="Y59" s="315"/>
      <c r="Z59" s="316"/>
      <c r="AA59" s="315"/>
      <c r="AB59" s="316"/>
      <c r="AC59" s="315"/>
      <c r="AD59" s="316"/>
      <c r="AE59" s="315"/>
      <c r="AF59" s="316"/>
      <c r="AG59" s="315"/>
      <c r="AH59" s="316"/>
      <c r="AI59" s="315"/>
      <c r="AJ59" s="316"/>
      <c r="AK59" s="315"/>
      <c r="AL59" s="316"/>
      <c r="AM59" s="315"/>
      <c r="AN59" s="316"/>
      <c r="AO59" s="315"/>
      <c r="AP59" s="312"/>
      <c r="AQ59" s="315"/>
      <c r="AR59" s="316"/>
      <c r="AS59" s="315"/>
      <c r="AT59" s="316"/>
      <c r="AU59" s="315"/>
      <c r="AV59" s="316"/>
      <c r="AW59" s="315"/>
      <c r="AX59" s="316"/>
      <c r="AY59" s="315"/>
      <c r="AZ59" s="316"/>
      <c r="BA59" s="315"/>
      <c r="BB59" s="316"/>
      <c r="BC59" s="315"/>
      <c r="BD59" s="316"/>
      <c r="BE59" s="315"/>
      <c r="BF59" s="316"/>
      <c r="BG59" s="315"/>
      <c r="BH59" s="316"/>
      <c r="BI59" s="315"/>
      <c r="BJ59" s="316"/>
      <c r="BK59" s="315"/>
      <c r="BL59" s="316"/>
      <c r="BM59" s="315"/>
      <c r="BN59" s="316"/>
      <c r="BO59" s="315"/>
      <c r="BP59" s="316"/>
      <c r="BQ59" s="315"/>
      <c r="BR59" s="316"/>
      <c r="BS59" s="315"/>
      <c r="BT59" s="316"/>
    </row>
    <row r="60" spans="1:72" ht="15.75" outlineLevel="1">
      <c r="A60" s="317"/>
      <c r="B60" s="797" t="s">
        <v>233</v>
      </c>
      <c r="C60" s="797"/>
      <c r="D60" s="797"/>
      <c r="E60" s="797"/>
      <c r="F60" s="797"/>
      <c r="G60" s="797"/>
      <c r="H60" s="797"/>
      <c r="I60" s="797"/>
      <c r="J60" s="797"/>
      <c r="K60" s="321"/>
      <c r="L60" s="1154"/>
      <c r="M60" s="1157"/>
      <c r="N60" s="1157"/>
      <c r="O60" s="1159"/>
      <c r="P60" s="322"/>
      <c r="Q60" s="332"/>
      <c r="R60" s="323"/>
      <c r="S60" s="794"/>
      <c r="T60" s="794"/>
      <c r="U60" s="315"/>
      <c r="V60" s="316"/>
      <c r="W60" s="315"/>
      <c r="X60" s="316"/>
      <c r="Y60" s="315"/>
      <c r="Z60" s="316"/>
      <c r="AA60" s="315"/>
      <c r="AB60" s="316"/>
      <c r="AC60" s="315"/>
      <c r="AD60" s="316"/>
      <c r="AE60" s="315"/>
      <c r="AF60" s="316"/>
      <c r="AG60" s="315"/>
      <c r="AH60" s="316"/>
      <c r="AI60" s="315"/>
      <c r="AJ60" s="316"/>
      <c r="AK60" s="315"/>
      <c r="AL60" s="316"/>
      <c r="AM60" s="315"/>
      <c r="AN60" s="316"/>
      <c r="AO60" s="315"/>
      <c r="AP60" s="312"/>
      <c r="AQ60" s="315"/>
      <c r="AR60" s="316"/>
      <c r="AS60" s="315"/>
      <c r="AT60" s="316"/>
      <c r="AU60" s="315"/>
      <c r="AV60" s="316"/>
      <c r="AW60" s="315"/>
      <c r="AX60" s="316"/>
      <c r="AY60" s="315"/>
      <c r="AZ60" s="316"/>
      <c r="BA60" s="315"/>
      <c r="BB60" s="316"/>
      <c r="BC60" s="315"/>
      <c r="BD60" s="316"/>
      <c r="BE60" s="315"/>
      <c r="BF60" s="316"/>
      <c r="BG60" s="315"/>
      <c r="BH60" s="316"/>
      <c r="BI60" s="315"/>
      <c r="BJ60" s="316"/>
      <c r="BK60" s="315"/>
      <c r="BL60" s="316"/>
      <c r="BM60" s="315"/>
      <c r="BN60" s="316"/>
      <c r="BO60" s="315"/>
      <c r="BP60" s="316"/>
      <c r="BQ60" s="315"/>
      <c r="BR60" s="316"/>
      <c r="BS60" s="315"/>
      <c r="BT60" s="316"/>
    </row>
    <row r="61" spans="1:72" ht="15.75">
      <c r="A61" s="317"/>
      <c r="B61" s="801" t="s">
        <v>234</v>
      </c>
      <c r="C61" s="801"/>
      <c r="D61" s="801"/>
      <c r="E61" s="801"/>
      <c r="F61" s="801"/>
      <c r="G61" s="801"/>
      <c r="H61" s="801"/>
      <c r="I61" s="801"/>
      <c r="J61" s="801"/>
      <c r="K61" s="321"/>
      <c r="L61" s="1154"/>
      <c r="M61" s="1157"/>
      <c r="N61" s="1157"/>
      <c r="O61" s="1159"/>
      <c r="P61" s="322"/>
      <c r="Q61" s="322"/>
      <c r="R61" s="323"/>
      <c r="S61" s="794"/>
      <c r="T61" s="794"/>
      <c r="U61" s="315"/>
      <c r="V61" s="316"/>
      <c r="W61" s="315"/>
      <c r="X61" s="316"/>
      <c r="Y61" s="315"/>
      <c r="Z61" s="316"/>
      <c r="AA61" s="315"/>
      <c r="AB61" s="316"/>
      <c r="AC61" s="315"/>
      <c r="AD61" s="316"/>
      <c r="AE61" s="315"/>
      <c r="AF61" s="316"/>
      <c r="AG61" s="315"/>
      <c r="AH61" s="316"/>
      <c r="AI61" s="315"/>
      <c r="AJ61" s="316"/>
      <c r="AK61" s="315"/>
      <c r="AL61" s="316"/>
      <c r="AM61" s="315"/>
      <c r="AN61" s="316"/>
      <c r="AO61" s="315"/>
      <c r="AP61" s="312"/>
      <c r="AQ61" s="315"/>
      <c r="AR61" s="316"/>
      <c r="AS61" s="315"/>
      <c r="AT61" s="316"/>
      <c r="AU61" s="315"/>
      <c r="AV61" s="316"/>
      <c r="AW61" s="315"/>
      <c r="AX61" s="316"/>
      <c r="AY61" s="315"/>
      <c r="AZ61" s="316"/>
      <c r="BA61" s="315"/>
      <c r="BB61" s="316"/>
      <c r="BC61" s="315"/>
      <c r="BD61" s="316"/>
      <c r="BE61" s="315"/>
      <c r="BF61" s="316"/>
      <c r="BG61" s="315"/>
      <c r="BH61" s="316"/>
      <c r="BI61" s="315"/>
      <c r="BJ61" s="316"/>
      <c r="BK61" s="315"/>
      <c r="BL61" s="316"/>
      <c r="BM61" s="315"/>
      <c r="BN61" s="316"/>
      <c r="BO61" s="315"/>
      <c r="BP61" s="316"/>
      <c r="BQ61" s="315"/>
      <c r="BR61" s="316"/>
      <c r="BS61" s="315"/>
      <c r="BT61" s="316"/>
    </row>
    <row r="62" spans="1:72" ht="15.75" outlineLevel="1">
      <c r="A62" s="317"/>
      <c r="B62" s="801" t="s">
        <v>235</v>
      </c>
      <c r="C62" s="801"/>
      <c r="D62" s="801"/>
      <c r="E62" s="801"/>
      <c r="F62" s="801"/>
      <c r="G62" s="801"/>
      <c r="H62" s="801"/>
      <c r="I62" s="801"/>
      <c r="J62" s="801"/>
      <c r="K62" s="321"/>
      <c r="L62" s="1154"/>
      <c r="M62" s="1157"/>
      <c r="N62" s="1157"/>
      <c r="O62" s="1159"/>
      <c r="P62" s="322"/>
      <c r="Q62" s="322"/>
      <c r="R62" s="323"/>
      <c r="S62" s="794"/>
      <c r="T62" s="794"/>
      <c r="U62" s="315"/>
      <c r="V62" s="316"/>
      <c r="W62" s="315"/>
      <c r="X62" s="316"/>
      <c r="Y62" s="315"/>
      <c r="Z62" s="316"/>
      <c r="AA62" s="315"/>
      <c r="AB62" s="316"/>
      <c r="AC62" s="315"/>
      <c r="AD62" s="316"/>
      <c r="AE62" s="315"/>
      <c r="AF62" s="316"/>
      <c r="AG62" s="315"/>
      <c r="AH62" s="316"/>
      <c r="AI62" s="315"/>
      <c r="AJ62" s="316"/>
      <c r="AK62" s="315"/>
      <c r="AL62" s="316"/>
      <c r="AM62" s="315"/>
      <c r="AN62" s="316"/>
      <c r="AO62" s="315"/>
      <c r="AP62" s="312"/>
      <c r="AQ62" s="315"/>
      <c r="AR62" s="316"/>
      <c r="AS62" s="315"/>
      <c r="AT62" s="316"/>
      <c r="AU62" s="315"/>
      <c r="AV62" s="316"/>
      <c r="AW62" s="315"/>
      <c r="AX62" s="316"/>
      <c r="AY62" s="315"/>
      <c r="AZ62" s="316"/>
      <c r="BA62" s="315"/>
      <c r="BB62" s="316"/>
      <c r="BC62" s="315"/>
      <c r="BD62" s="316"/>
      <c r="BE62" s="315"/>
      <c r="BF62" s="316"/>
      <c r="BG62" s="315"/>
      <c r="BH62" s="316"/>
      <c r="BI62" s="315"/>
      <c r="BJ62" s="316"/>
      <c r="BK62" s="315"/>
      <c r="BL62" s="316"/>
      <c r="BM62" s="315"/>
      <c r="BN62" s="316"/>
      <c r="BO62" s="315"/>
      <c r="BP62" s="316"/>
      <c r="BQ62" s="315"/>
      <c r="BR62" s="316"/>
      <c r="BS62" s="315"/>
      <c r="BT62" s="316"/>
    </row>
    <row r="63" spans="1:72" ht="15.75" outlineLevel="1">
      <c r="A63" s="317"/>
      <c r="B63" s="801" t="s">
        <v>236</v>
      </c>
      <c r="C63" s="801"/>
      <c r="D63" s="801"/>
      <c r="E63" s="801"/>
      <c r="F63" s="801"/>
      <c r="G63" s="801"/>
      <c r="H63" s="801"/>
      <c r="I63" s="801"/>
      <c r="J63" s="801"/>
      <c r="K63" s="321"/>
      <c r="L63" s="1154"/>
      <c r="M63" s="1157"/>
      <c r="N63" s="1157"/>
      <c r="O63" s="1159"/>
      <c r="P63" s="322"/>
      <c r="Q63" s="322"/>
      <c r="R63" s="326"/>
      <c r="S63" s="794"/>
      <c r="T63" s="794"/>
      <c r="U63" s="315"/>
      <c r="V63" s="316"/>
      <c r="W63" s="315"/>
      <c r="X63" s="316"/>
      <c r="Y63" s="315"/>
      <c r="Z63" s="316"/>
      <c r="AA63" s="315"/>
      <c r="AB63" s="316"/>
      <c r="AC63" s="315"/>
      <c r="AD63" s="316"/>
      <c r="AE63" s="315"/>
      <c r="AF63" s="316"/>
      <c r="AG63" s="315"/>
      <c r="AH63" s="316"/>
      <c r="AI63" s="315"/>
      <c r="AJ63" s="316"/>
      <c r="AK63" s="315"/>
      <c r="AL63" s="316"/>
      <c r="AM63" s="315"/>
      <c r="AN63" s="316"/>
      <c r="AO63" s="315"/>
      <c r="AP63" s="312"/>
      <c r="AQ63" s="315"/>
      <c r="AR63" s="316"/>
      <c r="AS63" s="315"/>
      <c r="AT63" s="316"/>
      <c r="AU63" s="315"/>
      <c r="AV63" s="316"/>
      <c r="AW63" s="315"/>
      <c r="AX63" s="316"/>
      <c r="AY63" s="315"/>
      <c r="AZ63" s="316"/>
      <c r="BA63" s="315"/>
      <c r="BB63" s="316"/>
      <c r="BC63" s="315"/>
      <c r="BD63" s="316"/>
      <c r="BE63" s="315"/>
      <c r="BF63" s="316"/>
      <c r="BG63" s="315"/>
      <c r="BH63" s="316"/>
      <c r="BI63" s="315"/>
      <c r="BJ63" s="316"/>
      <c r="BK63" s="315"/>
      <c r="BL63" s="316"/>
      <c r="BM63" s="315"/>
      <c r="BN63" s="316"/>
      <c r="BO63" s="315"/>
      <c r="BP63" s="316"/>
      <c r="BQ63" s="315"/>
      <c r="BR63" s="316"/>
      <c r="BS63" s="315"/>
      <c r="BT63" s="316"/>
    </row>
    <row r="64" spans="1:72" ht="16.5" thickBot="1">
      <c r="A64" s="317"/>
      <c r="B64" s="1183" t="s">
        <v>237</v>
      </c>
      <c r="C64" s="1183"/>
      <c r="D64" s="1183"/>
      <c r="E64" s="1183"/>
      <c r="F64" s="1183"/>
      <c r="G64" s="1183"/>
      <c r="H64" s="1183"/>
      <c r="I64" s="1183"/>
      <c r="J64" s="1183"/>
      <c r="K64" s="1184"/>
      <c r="L64" s="1171"/>
      <c r="M64" s="1172"/>
      <c r="N64" s="1172"/>
      <c r="O64" s="1185"/>
      <c r="P64" s="1186"/>
      <c r="Q64" s="1186"/>
      <c r="R64" s="1175"/>
      <c r="S64" s="1177"/>
      <c r="T64" s="1177"/>
      <c r="U64" s="315"/>
      <c r="V64" s="316"/>
      <c r="W64" s="315"/>
      <c r="X64" s="316"/>
      <c r="Y64" s="315"/>
      <c r="Z64" s="316"/>
      <c r="AA64" s="315"/>
      <c r="AB64" s="316"/>
      <c r="AC64" s="315"/>
      <c r="AD64" s="316"/>
      <c r="AE64" s="315"/>
      <c r="AF64" s="316"/>
      <c r="AG64" s="315"/>
      <c r="AH64" s="316"/>
      <c r="AI64" s="315"/>
      <c r="AJ64" s="316"/>
      <c r="AK64" s="315"/>
      <c r="AL64" s="316"/>
      <c r="AM64" s="315"/>
      <c r="AN64" s="316"/>
      <c r="AO64" s="315"/>
      <c r="AP64" s="312"/>
      <c r="AQ64" s="315"/>
      <c r="AR64" s="316"/>
      <c r="AS64" s="315"/>
      <c r="AT64" s="316"/>
      <c r="AU64" s="315"/>
      <c r="AV64" s="316"/>
      <c r="AW64" s="315"/>
      <c r="AX64" s="316"/>
      <c r="AY64" s="315"/>
      <c r="AZ64" s="316"/>
      <c r="BA64" s="315"/>
      <c r="BB64" s="316"/>
      <c r="BC64" s="315"/>
      <c r="BD64" s="316"/>
      <c r="BE64" s="315"/>
      <c r="BF64" s="316"/>
      <c r="BG64" s="315"/>
      <c r="BH64" s="316"/>
      <c r="BI64" s="315"/>
      <c r="BJ64" s="316"/>
      <c r="BK64" s="315"/>
      <c r="BL64" s="316"/>
      <c r="BM64" s="315"/>
      <c r="BN64" s="316"/>
      <c r="BO64" s="315"/>
      <c r="BP64" s="316"/>
      <c r="BQ64" s="315"/>
      <c r="BR64" s="316"/>
      <c r="BS64" s="315"/>
      <c r="BT64" s="316"/>
    </row>
    <row r="65" spans="1:72" ht="13.5" thickBot="1">
      <c r="A65" s="317"/>
      <c r="B65" s="1187" t="s">
        <v>238</v>
      </c>
      <c r="C65" s="1188"/>
      <c r="D65" s="1188"/>
      <c r="E65" s="1188"/>
      <c r="F65" s="1188"/>
      <c r="G65" s="1188"/>
      <c r="H65" s="1188"/>
      <c r="I65" s="1188"/>
      <c r="J65" s="1188"/>
      <c r="K65" s="1188"/>
      <c r="L65" s="1188"/>
      <c r="M65" s="1188"/>
      <c r="N65" s="1188"/>
      <c r="O65" s="1188"/>
      <c r="P65" s="1188"/>
      <c r="Q65" s="1188"/>
      <c r="R65" s="1188"/>
      <c r="S65" s="1188"/>
      <c r="T65" s="1189"/>
      <c r="U65" s="1168"/>
      <c r="V65" s="316"/>
      <c r="W65" s="315"/>
      <c r="X65" s="316"/>
      <c r="Y65" s="315"/>
      <c r="Z65" s="316"/>
      <c r="AA65" s="315"/>
      <c r="AB65" s="316"/>
      <c r="AC65" s="315"/>
      <c r="AD65" s="316"/>
      <c r="AE65" s="315"/>
      <c r="AF65" s="316"/>
      <c r="AG65" s="315"/>
      <c r="AH65" s="316"/>
      <c r="AI65" s="315"/>
      <c r="AJ65" s="316"/>
      <c r="AK65" s="315"/>
      <c r="AL65" s="316"/>
      <c r="AM65" s="315"/>
      <c r="AN65" s="316"/>
      <c r="AO65" s="315"/>
      <c r="AP65" s="312"/>
      <c r="AQ65" s="315"/>
      <c r="AR65" s="316"/>
      <c r="AS65" s="315"/>
      <c r="AT65" s="316"/>
      <c r="AU65" s="315"/>
      <c r="AV65" s="316"/>
      <c r="AW65" s="315"/>
      <c r="AX65" s="316"/>
      <c r="AY65" s="315"/>
      <c r="AZ65" s="316"/>
      <c r="BA65" s="315"/>
      <c r="BB65" s="316"/>
      <c r="BC65" s="315"/>
      <c r="BD65" s="316"/>
      <c r="BE65" s="315"/>
      <c r="BF65" s="316"/>
      <c r="BG65" s="315"/>
      <c r="BH65" s="316"/>
      <c r="BI65" s="315"/>
      <c r="BJ65" s="316"/>
      <c r="BK65" s="315"/>
      <c r="BL65" s="316"/>
      <c r="BM65" s="315"/>
      <c r="BN65" s="316"/>
      <c r="BO65" s="315"/>
      <c r="BP65" s="316"/>
      <c r="BQ65" s="315"/>
      <c r="BR65" s="316"/>
      <c r="BS65" s="315"/>
      <c r="BT65" s="316"/>
    </row>
    <row r="66" spans="1:72" ht="15.75">
      <c r="A66" s="317"/>
      <c r="B66" s="804" t="s">
        <v>239</v>
      </c>
      <c r="C66" s="804"/>
      <c r="D66" s="804"/>
      <c r="E66" s="804"/>
      <c r="F66" s="804"/>
      <c r="G66" s="804"/>
      <c r="H66" s="804"/>
      <c r="I66" s="804"/>
      <c r="J66" s="804"/>
      <c r="K66" s="328"/>
      <c r="L66" s="1154"/>
      <c r="M66" s="1178"/>
      <c r="N66" s="1178"/>
      <c r="O66" s="1158"/>
      <c r="P66" s="324"/>
      <c r="Q66" s="324"/>
      <c r="R66" s="1179"/>
      <c r="S66" s="802"/>
      <c r="T66" s="802"/>
      <c r="U66" s="315"/>
      <c r="V66" s="316"/>
      <c r="W66" s="315"/>
      <c r="X66" s="316"/>
      <c r="Y66" s="315"/>
      <c r="Z66" s="316"/>
      <c r="AA66" s="315"/>
      <c r="AB66" s="316"/>
      <c r="AC66" s="315"/>
      <c r="AD66" s="316"/>
      <c r="AE66" s="315"/>
      <c r="AF66" s="316"/>
      <c r="AG66" s="315"/>
      <c r="AH66" s="316"/>
      <c r="AI66" s="315"/>
      <c r="AJ66" s="316"/>
      <c r="AK66" s="315"/>
      <c r="AL66" s="316"/>
      <c r="AM66" s="315"/>
      <c r="AN66" s="316"/>
      <c r="AO66" s="315"/>
      <c r="AP66" s="312"/>
      <c r="AQ66" s="315"/>
      <c r="AR66" s="316"/>
      <c r="AS66" s="315"/>
      <c r="AT66" s="316"/>
      <c r="AU66" s="315"/>
      <c r="AV66" s="316"/>
      <c r="AW66" s="315"/>
      <c r="AX66" s="316"/>
      <c r="AY66" s="315"/>
      <c r="AZ66" s="316"/>
      <c r="BA66" s="315"/>
      <c r="BB66" s="316"/>
      <c r="BC66" s="315"/>
      <c r="BD66" s="316"/>
      <c r="BE66" s="315"/>
      <c r="BF66" s="316"/>
      <c r="BG66" s="315"/>
      <c r="BH66" s="316"/>
      <c r="BI66" s="315"/>
      <c r="BJ66" s="316"/>
      <c r="BK66" s="315"/>
      <c r="BL66" s="316"/>
      <c r="BM66" s="315"/>
      <c r="BN66" s="316"/>
      <c r="BO66" s="315"/>
      <c r="BP66" s="316"/>
      <c r="BQ66" s="315"/>
      <c r="BR66" s="316"/>
      <c r="BS66" s="315"/>
      <c r="BT66" s="316"/>
    </row>
    <row r="67" spans="1:72" ht="15.75" outlineLevel="1">
      <c r="A67" s="317"/>
      <c r="B67" s="800" t="s">
        <v>240</v>
      </c>
      <c r="C67" s="800"/>
      <c r="D67" s="800"/>
      <c r="E67" s="800"/>
      <c r="F67" s="800"/>
      <c r="G67" s="800"/>
      <c r="H67" s="800"/>
      <c r="I67" s="800"/>
      <c r="J67" s="800"/>
      <c r="K67" s="321"/>
      <c r="L67" s="1155"/>
      <c r="M67" s="1157"/>
      <c r="N67" s="1157"/>
      <c r="O67" s="1159"/>
      <c r="P67" s="322"/>
      <c r="Q67" s="322"/>
      <c r="R67" s="326"/>
      <c r="S67" s="794"/>
      <c r="T67" s="794"/>
      <c r="U67" s="315"/>
      <c r="V67" s="316"/>
      <c r="W67" s="315"/>
      <c r="X67" s="316"/>
      <c r="Y67" s="315"/>
      <c r="Z67" s="316"/>
      <c r="AA67" s="315"/>
      <c r="AB67" s="316"/>
      <c r="AC67" s="315"/>
      <c r="AD67" s="316"/>
      <c r="AE67" s="315"/>
      <c r="AF67" s="316"/>
      <c r="AG67" s="315"/>
      <c r="AH67" s="316"/>
      <c r="AI67" s="315"/>
      <c r="AJ67" s="316"/>
      <c r="AK67" s="315"/>
      <c r="AL67" s="316"/>
      <c r="AM67" s="315"/>
      <c r="AN67" s="316"/>
      <c r="AO67" s="315"/>
      <c r="AP67" s="312"/>
      <c r="AQ67" s="315"/>
      <c r="AR67" s="316"/>
      <c r="AS67" s="315"/>
      <c r="AT67" s="316"/>
      <c r="AU67" s="315"/>
      <c r="AV67" s="316"/>
      <c r="AW67" s="315"/>
      <c r="AX67" s="316"/>
      <c r="AY67" s="315"/>
      <c r="AZ67" s="316"/>
      <c r="BA67" s="315"/>
      <c r="BB67" s="316"/>
      <c r="BC67" s="315"/>
      <c r="BD67" s="316"/>
      <c r="BE67" s="315"/>
      <c r="BF67" s="316"/>
      <c r="BG67" s="315"/>
      <c r="BH67" s="316"/>
      <c r="BI67" s="315"/>
      <c r="BJ67" s="316"/>
      <c r="BK67" s="315"/>
      <c r="BL67" s="316"/>
      <c r="BM67" s="315"/>
      <c r="BN67" s="316"/>
      <c r="BO67" s="315"/>
      <c r="BP67" s="316"/>
      <c r="BQ67" s="315"/>
      <c r="BR67" s="316"/>
      <c r="BS67" s="315"/>
      <c r="BT67" s="316"/>
    </row>
    <row r="68" spans="1:72" ht="15.75" customHeight="1">
      <c r="A68" s="317"/>
      <c r="B68" s="797" t="s">
        <v>241</v>
      </c>
      <c r="C68" s="797"/>
      <c r="D68" s="797"/>
      <c r="E68" s="797"/>
      <c r="F68" s="797"/>
      <c r="G68" s="797"/>
      <c r="H68" s="797"/>
      <c r="I68" s="797"/>
      <c r="J68" s="797"/>
      <c r="K68" s="321"/>
      <c r="L68" s="1155"/>
      <c r="M68" s="1157"/>
      <c r="N68" s="1157"/>
      <c r="O68" s="1159"/>
      <c r="P68" s="322"/>
      <c r="Q68" s="322"/>
      <c r="R68" s="323"/>
      <c r="S68" s="794"/>
      <c r="T68" s="794"/>
      <c r="U68" s="315"/>
      <c r="V68" s="316"/>
      <c r="W68" s="315"/>
      <c r="X68" s="316"/>
      <c r="Y68" s="315"/>
      <c r="Z68" s="316"/>
      <c r="AA68" s="315"/>
      <c r="AB68" s="316"/>
      <c r="AC68" s="315"/>
      <c r="AD68" s="316"/>
      <c r="AE68" s="315"/>
      <c r="AF68" s="316"/>
      <c r="AG68" s="315"/>
      <c r="AH68" s="316"/>
      <c r="AI68" s="315"/>
      <c r="AJ68" s="316"/>
      <c r="AK68" s="315"/>
      <c r="AL68" s="316"/>
      <c r="AM68" s="315"/>
      <c r="AN68" s="316"/>
      <c r="AO68" s="315"/>
      <c r="AP68" s="312"/>
      <c r="AQ68" s="315"/>
      <c r="AR68" s="316"/>
      <c r="AS68" s="315"/>
      <c r="AT68" s="316"/>
      <c r="AU68" s="315"/>
      <c r="AV68" s="316"/>
      <c r="AW68" s="315"/>
      <c r="AX68" s="316"/>
      <c r="AY68" s="315"/>
      <c r="AZ68" s="316"/>
      <c r="BA68" s="315"/>
      <c r="BB68" s="316"/>
      <c r="BC68" s="315"/>
      <c r="BD68" s="316"/>
      <c r="BE68" s="315"/>
      <c r="BF68" s="316"/>
      <c r="BG68" s="315"/>
      <c r="BH68" s="316"/>
      <c r="BI68" s="315"/>
      <c r="BJ68" s="316"/>
      <c r="BK68" s="315"/>
      <c r="BL68" s="316"/>
      <c r="BM68" s="315"/>
      <c r="BN68" s="316"/>
      <c r="BO68" s="315"/>
      <c r="BP68" s="316"/>
      <c r="BQ68" s="315"/>
      <c r="BR68" s="316"/>
      <c r="BS68" s="315"/>
      <c r="BT68" s="316"/>
    </row>
    <row r="69" spans="1:72" ht="15.75" customHeight="1" outlineLevel="1">
      <c r="A69" s="317"/>
      <c r="B69" s="798" t="s">
        <v>242</v>
      </c>
      <c r="C69" s="798"/>
      <c r="D69" s="798"/>
      <c r="E69" s="798"/>
      <c r="F69" s="798"/>
      <c r="G69" s="798"/>
      <c r="H69" s="798"/>
      <c r="I69" s="798"/>
      <c r="J69" s="798"/>
      <c r="K69" s="321"/>
      <c r="L69" s="1155"/>
      <c r="M69" s="1162"/>
      <c r="N69" s="1162"/>
      <c r="O69" s="1159"/>
      <c r="P69" s="322"/>
      <c r="Q69" s="322"/>
      <c r="R69" s="326"/>
      <c r="S69" s="799"/>
      <c r="T69" s="799"/>
      <c r="U69" s="313"/>
      <c r="V69" s="312"/>
      <c r="W69" s="313"/>
      <c r="X69" s="312"/>
      <c r="Y69" s="313"/>
      <c r="Z69" s="312"/>
      <c r="AA69" s="313"/>
      <c r="AB69" s="312"/>
      <c r="AC69" s="313"/>
      <c r="AD69" s="312"/>
      <c r="AE69" s="313"/>
      <c r="AF69" s="312"/>
      <c r="AG69" s="313"/>
      <c r="AH69" s="312"/>
      <c r="AI69" s="313"/>
      <c r="AJ69" s="312"/>
      <c r="AK69" s="313"/>
      <c r="AL69" s="312"/>
      <c r="AM69" s="313"/>
      <c r="AN69" s="312"/>
      <c r="AO69" s="313"/>
      <c r="AP69" s="312"/>
      <c r="AQ69" s="315"/>
      <c r="AR69" s="316"/>
      <c r="AS69" s="313"/>
      <c r="AT69" s="312"/>
      <c r="AU69" s="313"/>
      <c r="AV69" s="312"/>
      <c r="AW69" s="313"/>
      <c r="AX69" s="312"/>
      <c r="AY69" s="313"/>
      <c r="AZ69" s="312"/>
      <c r="BA69" s="313"/>
      <c r="BB69" s="312"/>
      <c r="BC69" s="313"/>
      <c r="BD69" s="312"/>
      <c r="BE69" s="313"/>
      <c r="BF69" s="312"/>
      <c r="BG69" s="313"/>
      <c r="BH69" s="312"/>
      <c r="BI69" s="313"/>
      <c r="BJ69" s="312"/>
      <c r="BK69" s="313"/>
      <c r="BL69" s="312"/>
      <c r="BM69" s="313"/>
      <c r="BN69" s="312"/>
      <c r="BO69" s="313"/>
      <c r="BP69" s="312"/>
      <c r="BQ69" s="313"/>
      <c r="BR69" s="312"/>
      <c r="BS69" s="313"/>
      <c r="BT69" s="312"/>
    </row>
    <row r="70" spans="1:72" ht="15.75" customHeight="1" outlineLevel="1">
      <c r="A70" s="317"/>
      <c r="B70" s="788" t="s">
        <v>243</v>
      </c>
      <c r="C70" s="788"/>
      <c r="D70" s="788"/>
      <c r="E70" s="788"/>
      <c r="F70" s="788"/>
      <c r="G70" s="788"/>
      <c r="H70" s="788"/>
      <c r="I70" s="788"/>
      <c r="J70" s="788"/>
      <c r="K70" s="321"/>
      <c r="L70" s="1155"/>
      <c r="M70" s="1162"/>
      <c r="N70" s="1162"/>
      <c r="O70" s="1159"/>
      <c r="P70" s="322"/>
      <c r="Q70" s="322"/>
      <c r="R70" s="326"/>
      <c r="S70" s="796"/>
      <c r="T70" s="796"/>
      <c r="U70" s="315"/>
      <c r="V70" s="316"/>
      <c r="W70" s="315"/>
      <c r="X70" s="316"/>
      <c r="Y70" s="315"/>
      <c r="Z70" s="316"/>
      <c r="AA70" s="315"/>
      <c r="AB70" s="316"/>
      <c r="AC70" s="315"/>
      <c r="AD70" s="316"/>
      <c r="AE70" s="315"/>
      <c r="AF70" s="316"/>
      <c r="AG70" s="315"/>
      <c r="AH70" s="316"/>
      <c r="AI70" s="315"/>
      <c r="AJ70" s="316"/>
      <c r="AK70" s="315"/>
      <c r="AL70" s="316"/>
      <c r="AM70" s="315"/>
      <c r="AN70" s="316"/>
      <c r="AO70" s="315"/>
      <c r="AP70" s="312"/>
      <c r="AQ70" s="315"/>
      <c r="AR70" s="316"/>
      <c r="AS70" s="315"/>
      <c r="AT70" s="316"/>
      <c r="AU70" s="315"/>
      <c r="AV70" s="316"/>
      <c r="AW70" s="315"/>
      <c r="AX70" s="316"/>
      <c r="AY70" s="315"/>
      <c r="AZ70" s="316"/>
      <c r="BA70" s="315"/>
      <c r="BB70" s="316"/>
      <c r="BC70" s="315"/>
      <c r="BD70" s="316"/>
      <c r="BE70" s="315"/>
      <c r="BF70" s="316"/>
      <c r="BG70" s="315"/>
      <c r="BH70" s="316"/>
      <c r="BI70" s="315"/>
      <c r="BJ70" s="316"/>
      <c r="BK70" s="315"/>
      <c r="BL70" s="316"/>
      <c r="BM70" s="315"/>
      <c r="BN70" s="316"/>
      <c r="BO70" s="315"/>
      <c r="BP70" s="316"/>
      <c r="BQ70" s="315"/>
      <c r="BR70" s="316"/>
      <c r="BS70" s="315"/>
      <c r="BT70" s="316"/>
    </row>
    <row r="71" spans="1:72" ht="15.75">
      <c r="A71" s="317"/>
      <c r="B71" s="788" t="s">
        <v>244</v>
      </c>
      <c r="C71" s="788"/>
      <c r="D71" s="788"/>
      <c r="E71" s="788"/>
      <c r="F71" s="788"/>
      <c r="G71" s="788"/>
      <c r="H71" s="788"/>
      <c r="I71" s="788"/>
      <c r="J71" s="788"/>
      <c r="K71" s="321"/>
      <c r="L71" s="1155"/>
      <c r="M71" s="1162"/>
      <c r="N71" s="1162"/>
      <c r="O71" s="1159"/>
      <c r="P71" s="322"/>
      <c r="Q71" s="322"/>
      <c r="R71" s="326"/>
      <c r="S71" s="796"/>
      <c r="T71" s="796"/>
      <c r="U71" s="315"/>
      <c r="V71" s="316"/>
      <c r="W71" s="315"/>
      <c r="X71" s="316"/>
      <c r="Y71" s="315"/>
      <c r="Z71" s="316"/>
      <c r="AA71" s="315"/>
      <c r="AB71" s="316"/>
      <c r="AC71" s="315"/>
      <c r="AD71" s="316"/>
      <c r="AE71" s="315"/>
      <c r="AF71" s="316"/>
      <c r="AG71" s="315"/>
      <c r="AH71" s="316"/>
      <c r="AI71" s="315"/>
      <c r="AJ71" s="316"/>
      <c r="AK71" s="315"/>
      <c r="AL71" s="316"/>
      <c r="AM71" s="315"/>
      <c r="AN71" s="316"/>
      <c r="AO71" s="315"/>
      <c r="AP71" s="312"/>
      <c r="AQ71" s="315"/>
      <c r="AR71" s="316"/>
      <c r="AS71" s="315"/>
      <c r="AT71" s="316"/>
      <c r="AU71" s="315"/>
      <c r="AV71" s="316"/>
      <c r="AW71" s="315"/>
      <c r="AX71" s="316"/>
      <c r="AY71" s="315"/>
      <c r="AZ71" s="316"/>
      <c r="BA71" s="315"/>
      <c r="BB71" s="316"/>
      <c r="BC71" s="315"/>
      <c r="BD71" s="316"/>
      <c r="BE71" s="315"/>
      <c r="BF71" s="316"/>
      <c r="BG71" s="315"/>
      <c r="BH71" s="316"/>
      <c r="BI71" s="315"/>
      <c r="BJ71" s="316"/>
      <c r="BK71" s="315"/>
      <c r="BL71" s="316"/>
      <c r="BM71" s="315"/>
      <c r="BN71" s="316"/>
      <c r="BO71" s="315"/>
      <c r="BP71" s="316"/>
      <c r="BQ71" s="315"/>
      <c r="BR71" s="316"/>
      <c r="BS71" s="315"/>
      <c r="BT71" s="316"/>
    </row>
    <row r="72" spans="1:72" ht="15.75">
      <c r="A72" s="317"/>
      <c r="B72" s="788" t="s">
        <v>245</v>
      </c>
      <c r="C72" s="788"/>
      <c r="D72" s="788"/>
      <c r="E72" s="788"/>
      <c r="F72" s="788"/>
      <c r="G72" s="788"/>
      <c r="H72" s="788"/>
      <c r="I72" s="788"/>
      <c r="J72" s="788"/>
      <c r="K72" s="321"/>
      <c r="L72" s="1155"/>
      <c r="M72" s="1165"/>
      <c r="N72" s="1165"/>
      <c r="O72" s="1159"/>
      <c r="P72" s="322"/>
      <c r="Q72" s="322"/>
      <c r="R72" s="326"/>
      <c r="S72" s="794"/>
      <c r="T72" s="794"/>
      <c r="U72" s="315"/>
      <c r="V72" s="316"/>
      <c r="W72" s="315"/>
      <c r="X72" s="316"/>
      <c r="Y72" s="315"/>
      <c r="Z72" s="316"/>
      <c r="AA72" s="315"/>
      <c r="AB72" s="316"/>
      <c r="AC72" s="315"/>
      <c r="AD72" s="316"/>
      <c r="AE72" s="315"/>
      <c r="AF72" s="316"/>
      <c r="AG72" s="315"/>
      <c r="AH72" s="316"/>
      <c r="AI72" s="315"/>
      <c r="AJ72" s="316"/>
      <c r="AK72" s="315"/>
      <c r="AL72" s="316"/>
      <c r="AM72" s="315"/>
      <c r="AN72" s="316"/>
      <c r="AO72" s="315"/>
      <c r="AP72" s="312"/>
      <c r="AQ72" s="315"/>
      <c r="AR72" s="316"/>
      <c r="AS72" s="315"/>
      <c r="AT72" s="316"/>
      <c r="AU72" s="315"/>
      <c r="AV72" s="316"/>
      <c r="AW72" s="315"/>
      <c r="AX72" s="316"/>
      <c r="AY72" s="315"/>
      <c r="AZ72" s="316"/>
      <c r="BA72" s="315"/>
      <c r="BB72" s="316"/>
      <c r="BC72" s="315"/>
      <c r="BD72" s="316"/>
      <c r="BE72" s="315"/>
      <c r="BF72" s="316"/>
      <c r="BG72" s="315"/>
      <c r="BH72" s="316"/>
      <c r="BI72" s="315"/>
      <c r="BJ72" s="316"/>
      <c r="BK72" s="315"/>
      <c r="BL72" s="316"/>
      <c r="BM72" s="315"/>
      <c r="BN72" s="316"/>
      <c r="BO72" s="315"/>
      <c r="BP72" s="316"/>
      <c r="BQ72" s="315"/>
      <c r="BR72" s="316"/>
      <c r="BS72" s="315"/>
      <c r="BT72" s="316"/>
    </row>
    <row r="73" spans="1:72" ht="15.75" outlineLevel="1">
      <c r="A73" s="317"/>
      <c r="B73" s="795" t="s">
        <v>246</v>
      </c>
      <c r="C73" s="795"/>
      <c r="D73" s="795"/>
      <c r="E73" s="795"/>
      <c r="F73" s="795"/>
      <c r="G73" s="795"/>
      <c r="H73" s="795"/>
      <c r="I73" s="795"/>
      <c r="J73" s="795"/>
      <c r="K73" s="321"/>
      <c r="L73" s="1155"/>
      <c r="M73" s="1157"/>
      <c r="N73" s="1157"/>
      <c r="O73" s="1159"/>
      <c r="P73" s="322"/>
      <c r="Q73" s="322"/>
      <c r="R73" s="326"/>
      <c r="S73" s="796"/>
      <c r="T73" s="796"/>
      <c r="U73" s="315"/>
      <c r="V73" s="316"/>
      <c r="W73" s="315"/>
      <c r="X73" s="316"/>
      <c r="Y73" s="315"/>
      <c r="Z73" s="316"/>
      <c r="AA73" s="315"/>
      <c r="AB73" s="316"/>
      <c r="AC73" s="315"/>
      <c r="AD73" s="316"/>
      <c r="AE73" s="315"/>
      <c r="AF73" s="316"/>
      <c r="AG73" s="315"/>
      <c r="AH73" s="316"/>
      <c r="AI73" s="315"/>
      <c r="AJ73" s="316"/>
      <c r="AK73" s="315"/>
      <c r="AL73" s="316"/>
      <c r="AM73" s="315"/>
      <c r="AN73" s="316"/>
      <c r="AO73" s="315"/>
      <c r="AP73" s="312"/>
      <c r="AQ73" s="315"/>
      <c r="AR73" s="316"/>
      <c r="AS73" s="315"/>
      <c r="AT73" s="316"/>
      <c r="AU73" s="315"/>
      <c r="AV73" s="316"/>
      <c r="AW73" s="315"/>
      <c r="AX73" s="316"/>
      <c r="AY73" s="315"/>
      <c r="AZ73" s="316"/>
      <c r="BA73" s="315"/>
      <c r="BB73" s="316"/>
      <c r="BC73" s="315"/>
      <c r="BD73" s="316"/>
      <c r="BE73" s="315"/>
      <c r="BF73" s="316"/>
      <c r="BG73" s="315"/>
      <c r="BH73" s="316"/>
      <c r="BI73" s="315"/>
      <c r="BJ73" s="316"/>
      <c r="BK73" s="315"/>
      <c r="BL73" s="316"/>
      <c r="BM73" s="315"/>
      <c r="BN73" s="316"/>
      <c r="BO73" s="315"/>
      <c r="BP73" s="316"/>
      <c r="BQ73" s="315"/>
      <c r="BR73" s="316"/>
      <c r="BS73" s="315"/>
      <c r="BT73" s="316"/>
    </row>
    <row r="74" spans="1:72" ht="15.75" customHeight="1" outlineLevel="1">
      <c r="A74" s="317"/>
      <c r="B74" s="788" t="s">
        <v>247</v>
      </c>
      <c r="C74" s="788"/>
      <c r="D74" s="788"/>
      <c r="E74" s="788"/>
      <c r="F74" s="788"/>
      <c r="G74" s="788"/>
      <c r="H74" s="788"/>
      <c r="I74" s="788"/>
      <c r="J74" s="788"/>
      <c r="K74" s="321"/>
      <c r="L74" s="1155"/>
      <c r="M74" s="1166"/>
      <c r="N74" s="1167"/>
      <c r="O74" s="1163"/>
      <c r="P74" s="333"/>
      <c r="Q74" s="322"/>
      <c r="R74" s="333"/>
      <c r="S74" s="793"/>
      <c r="T74" s="793"/>
      <c r="U74" s="315"/>
      <c r="V74" s="316"/>
      <c r="W74" s="315"/>
      <c r="X74" s="316"/>
      <c r="Y74" s="315"/>
      <c r="Z74" s="316"/>
      <c r="AA74" s="315"/>
      <c r="AB74" s="316"/>
      <c r="AC74" s="315"/>
      <c r="AD74" s="316"/>
      <c r="AE74" s="315"/>
      <c r="AF74" s="316"/>
      <c r="AG74" s="315"/>
      <c r="AH74" s="316"/>
      <c r="AI74" s="315"/>
      <c r="AJ74" s="316"/>
      <c r="AK74" s="315"/>
      <c r="AL74" s="316"/>
      <c r="AM74" s="315"/>
      <c r="AN74" s="316"/>
      <c r="AO74" s="315"/>
      <c r="AP74" s="312"/>
      <c r="AQ74" s="315"/>
      <c r="AR74" s="316"/>
      <c r="AS74" s="315"/>
      <c r="AT74" s="316"/>
      <c r="AU74" s="315"/>
      <c r="AV74" s="316"/>
      <c r="AW74" s="315"/>
      <c r="AX74" s="316"/>
      <c r="AY74" s="315"/>
      <c r="AZ74" s="316"/>
      <c r="BA74" s="315"/>
      <c r="BB74" s="316"/>
      <c r="BC74" s="315"/>
      <c r="BD74" s="316"/>
      <c r="BE74" s="315"/>
      <c r="BF74" s="316"/>
      <c r="BG74" s="315"/>
      <c r="BH74" s="316"/>
      <c r="BI74" s="315"/>
      <c r="BJ74" s="316"/>
      <c r="BK74" s="315"/>
      <c r="BL74" s="316"/>
      <c r="BM74" s="315"/>
      <c r="BN74" s="316"/>
      <c r="BO74" s="315"/>
      <c r="BP74" s="316"/>
      <c r="BQ74" s="315"/>
      <c r="BR74" s="316"/>
      <c r="BS74" s="315"/>
      <c r="BT74" s="316"/>
    </row>
    <row r="75" spans="1:72" ht="16.5" thickBot="1">
      <c r="A75" s="285"/>
      <c r="B75" s="1200" t="s">
        <v>248</v>
      </c>
      <c r="C75" s="1200"/>
      <c r="D75" s="1200"/>
      <c r="E75" s="1200"/>
      <c r="F75" s="1200"/>
      <c r="G75" s="1200"/>
      <c r="H75" s="1200"/>
      <c r="I75" s="1200"/>
      <c r="J75" s="1200"/>
      <c r="K75" s="1184"/>
      <c r="L75" s="1201"/>
      <c r="M75" s="1202"/>
      <c r="N75" s="1202"/>
      <c r="O75" s="1203"/>
      <c r="P75" s="1186"/>
      <c r="Q75" s="1186"/>
      <c r="R75" s="1175"/>
      <c r="S75" s="1204"/>
      <c r="T75" s="1204"/>
      <c r="U75" s="315"/>
      <c r="V75" s="316"/>
      <c r="W75" s="315"/>
      <c r="X75" s="316"/>
      <c r="Y75" s="315"/>
      <c r="Z75" s="316"/>
      <c r="AA75" s="315"/>
      <c r="AB75" s="316"/>
      <c r="AC75" s="315"/>
      <c r="AD75" s="316"/>
      <c r="AE75" s="315"/>
      <c r="AF75" s="316"/>
      <c r="AG75" s="315"/>
      <c r="AH75" s="316"/>
      <c r="AI75" s="315"/>
      <c r="AJ75" s="316"/>
      <c r="AK75" s="315"/>
      <c r="AL75" s="316"/>
      <c r="AM75" s="315"/>
      <c r="AN75" s="316"/>
      <c r="AO75" s="315"/>
      <c r="AP75" s="312"/>
      <c r="AQ75" s="315"/>
      <c r="AR75" s="316"/>
      <c r="AS75" s="315"/>
      <c r="AT75" s="316"/>
      <c r="AU75" s="315"/>
      <c r="AV75" s="316"/>
      <c r="AW75" s="315"/>
      <c r="AX75" s="316"/>
      <c r="AY75" s="315"/>
      <c r="AZ75" s="316"/>
      <c r="BA75" s="315"/>
      <c r="BB75" s="316"/>
      <c r="BC75" s="315"/>
      <c r="BD75" s="316"/>
      <c r="BE75" s="315"/>
      <c r="BF75" s="316"/>
      <c r="BG75" s="315"/>
      <c r="BH75" s="316"/>
      <c r="BI75" s="315"/>
      <c r="BJ75" s="316"/>
      <c r="BK75" s="315"/>
      <c r="BL75" s="316"/>
      <c r="BM75" s="315"/>
      <c r="BN75" s="316"/>
      <c r="BO75" s="315"/>
      <c r="BP75" s="316"/>
      <c r="BQ75" s="315"/>
      <c r="BR75" s="316"/>
      <c r="BS75" s="315"/>
      <c r="BT75" s="316"/>
    </row>
    <row r="76" spans="1:72" ht="13.5" thickBot="1">
      <c r="A76" s="285"/>
      <c r="B76" s="1208" t="s">
        <v>249</v>
      </c>
      <c r="C76" s="1209"/>
      <c r="D76" s="1209"/>
      <c r="E76" s="1209"/>
      <c r="F76" s="1209"/>
      <c r="G76" s="1209"/>
      <c r="H76" s="1209"/>
      <c r="I76" s="1209"/>
      <c r="J76" s="1209"/>
      <c r="K76" s="1209"/>
      <c r="L76" s="1209"/>
      <c r="M76" s="1209"/>
      <c r="N76" s="1209"/>
      <c r="O76" s="1209"/>
      <c r="P76" s="1209"/>
      <c r="Q76" s="1209"/>
      <c r="R76" s="1209"/>
      <c r="S76" s="1209"/>
      <c r="T76" s="1210"/>
      <c r="U76" s="1168"/>
      <c r="V76" s="316"/>
      <c r="W76" s="315"/>
      <c r="X76" s="316"/>
      <c r="Y76" s="315"/>
      <c r="Z76" s="316"/>
      <c r="AA76" s="315"/>
      <c r="AB76" s="316"/>
      <c r="AC76" s="315"/>
      <c r="AD76" s="316"/>
      <c r="AE76" s="315"/>
      <c r="AF76" s="316"/>
      <c r="AG76" s="315"/>
      <c r="AH76" s="316"/>
      <c r="AI76" s="315"/>
      <c r="AJ76" s="316"/>
      <c r="AK76" s="315"/>
      <c r="AL76" s="316"/>
      <c r="AM76" s="315"/>
      <c r="AN76" s="316"/>
      <c r="AO76" s="315"/>
      <c r="AP76" s="312"/>
      <c r="AQ76" s="315"/>
      <c r="AR76" s="316"/>
      <c r="AS76" s="315"/>
      <c r="AT76" s="316"/>
      <c r="AU76" s="315"/>
      <c r="AV76" s="316"/>
      <c r="AW76" s="315"/>
      <c r="AX76" s="316"/>
      <c r="AY76" s="315"/>
      <c r="AZ76" s="316"/>
      <c r="BA76" s="315"/>
      <c r="BB76" s="316"/>
      <c r="BC76" s="315"/>
      <c r="BD76" s="316"/>
      <c r="BE76" s="315"/>
      <c r="BF76" s="316"/>
      <c r="BG76" s="315"/>
      <c r="BH76" s="316"/>
      <c r="BI76" s="315"/>
      <c r="BJ76" s="316"/>
      <c r="BK76" s="315"/>
      <c r="BL76" s="316"/>
      <c r="BM76" s="315"/>
      <c r="BN76" s="316"/>
      <c r="BO76" s="315"/>
      <c r="BP76" s="316"/>
      <c r="BQ76" s="315"/>
      <c r="BR76" s="316"/>
      <c r="BS76" s="315"/>
      <c r="BT76" s="316"/>
    </row>
    <row r="77" spans="1:72" ht="15.75">
      <c r="A77" s="285"/>
      <c r="B77" s="1205" t="s">
        <v>250</v>
      </c>
      <c r="C77" s="1205"/>
      <c r="D77" s="1205"/>
      <c r="E77" s="1205"/>
      <c r="F77" s="1205"/>
      <c r="G77" s="1205"/>
      <c r="H77" s="1205"/>
      <c r="I77" s="1205"/>
      <c r="J77" s="1205"/>
      <c r="K77" s="328"/>
      <c r="L77" s="1206"/>
      <c r="M77" s="1164"/>
      <c r="N77" s="1164"/>
      <c r="O77" s="329"/>
      <c r="P77" s="324"/>
      <c r="Q77" s="324"/>
      <c r="R77" s="1179"/>
      <c r="S77" s="1207"/>
      <c r="T77" s="1207"/>
      <c r="U77" s="315"/>
      <c r="V77" s="316"/>
      <c r="W77" s="315"/>
      <c r="X77" s="316"/>
      <c r="Y77" s="315"/>
      <c r="Z77" s="316"/>
      <c r="AA77" s="315"/>
      <c r="AB77" s="316"/>
      <c r="AC77" s="315"/>
      <c r="AD77" s="316"/>
      <c r="AE77" s="315"/>
      <c r="AF77" s="316"/>
      <c r="AG77" s="315"/>
      <c r="AH77" s="316"/>
      <c r="AI77" s="315"/>
      <c r="AJ77" s="316"/>
      <c r="AK77" s="315"/>
      <c r="AL77" s="316"/>
      <c r="AM77" s="315"/>
      <c r="AN77" s="316"/>
      <c r="AO77" s="315"/>
      <c r="AP77" s="312"/>
      <c r="AQ77" s="315"/>
      <c r="AR77" s="316"/>
      <c r="AS77" s="315"/>
      <c r="AT77" s="316"/>
      <c r="AU77" s="315"/>
      <c r="AV77" s="316"/>
      <c r="AW77" s="315"/>
      <c r="AX77" s="316"/>
      <c r="AY77" s="315"/>
      <c r="AZ77" s="316"/>
      <c r="BA77" s="315"/>
      <c r="BB77" s="316"/>
      <c r="BC77" s="315"/>
      <c r="BD77" s="316"/>
      <c r="BE77" s="315"/>
      <c r="BF77" s="316"/>
      <c r="BG77" s="315"/>
      <c r="BH77" s="316"/>
      <c r="BI77" s="315"/>
      <c r="BJ77" s="316"/>
      <c r="BK77" s="315"/>
      <c r="BL77" s="316"/>
      <c r="BM77" s="315"/>
      <c r="BN77" s="316"/>
      <c r="BO77" s="315"/>
      <c r="BP77" s="316"/>
      <c r="BQ77" s="315"/>
      <c r="BR77" s="316"/>
      <c r="BS77" s="315"/>
      <c r="BT77" s="316"/>
    </row>
    <row r="78" spans="1:72" ht="15.75">
      <c r="A78" s="285"/>
      <c r="B78" s="791" t="s">
        <v>251</v>
      </c>
      <c r="C78" s="791"/>
      <c r="D78" s="791"/>
      <c r="E78" s="791"/>
      <c r="F78" s="791"/>
      <c r="G78" s="791"/>
      <c r="H78" s="791"/>
      <c r="I78" s="791"/>
      <c r="J78" s="791"/>
      <c r="K78" s="321"/>
      <c r="L78" s="334"/>
      <c r="M78" s="792"/>
      <c r="N78" s="792"/>
      <c r="O78" s="331"/>
      <c r="P78" s="322"/>
      <c r="Q78" s="322"/>
      <c r="R78" s="326"/>
      <c r="S78" s="793"/>
      <c r="T78" s="793"/>
      <c r="U78" s="315"/>
      <c r="V78" s="316"/>
      <c r="W78" s="315"/>
      <c r="X78" s="316"/>
      <c r="Y78" s="315"/>
      <c r="Z78" s="316"/>
      <c r="AA78" s="315"/>
      <c r="AB78" s="316"/>
      <c r="AC78" s="315"/>
      <c r="AD78" s="316"/>
      <c r="AE78" s="315"/>
      <c r="AF78" s="316"/>
      <c r="AG78" s="315"/>
      <c r="AH78" s="316"/>
      <c r="AI78" s="315"/>
      <c r="AJ78" s="316"/>
      <c r="AK78" s="315"/>
      <c r="AL78" s="316"/>
      <c r="AM78" s="315"/>
      <c r="AN78" s="316"/>
      <c r="AO78" s="315"/>
      <c r="AP78" s="312"/>
      <c r="AQ78" s="315"/>
      <c r="AR78" s="316"/>
      <c r="AS78" s="315"/>
      <c r="AT78" s="316"/>
      <c r="AU78" s="315"/>
      <c r="AV78" s="316"/>
      <c r="AW78" s="315"/>
      <c r="AX78" s="316"/>
      <c r="AY78" s="315"/>
      <c r="AZ78" s="316"/>
      <c r="BA78" s="315"/>
      <c r="BB78" s="316"/>
      <c r="BC78" s="315"/>
      <c r="BD78" s="316"/>
      <c r="BE78" s="315"/>
      <c r="BF78" s="316"/>
      <c r="BG78" s="315"/>
      <c r="BH78" s="316"/>
      <c r="BI78" s="315"/>
      <c r="BJ78" s="316"/>
      <c r="BK78" s="315"/>
      <c r="BL78" s="316"/>
      <c r="BM78" s="315"/>
      <c r="BN78" s="316"/>
      <c r="BO78" s="315"/>
      <c r="BP78" s="316"/>
      <c r="BQ78" s="315"/>
      <c r="BR78" s="316"/>
      <c r="BS78" s="315"/>
      <c r="BT78" s="316"/>
    </row>
    <row r="79" spans="1:72" ht="15" customHeight="1" outlineLevel="1">
      <c r="A79" s="317"/>
      <c r="B79" s="791" t="s">
        <v>252</v>
      </c>
      <c r="C79" s="791"/>
      <c r="D79" s="791"/>
      <c r="E79" s="791"/>
      <c r="F79" s="791"/>
      <c r="G79" s="791"/>
      <c r="H79" s="791"/>
      <c r="I79" s="791"/>
      <c r="J79" s="791"/>
      <c r="K79" s="321"/>
      <c r="L79" s="334"/>
      <c r="M79" s="792"/>
      <c r="N79" s="792"/>
      <c r="O79" s="331"/>
      <c r="P79" s="322"/>
      <c r="Q79" s="322"/>
      <c r="R79" s="326"/>
      <c r="S79" s="793"/>
      <c r="T79" s="793"/>
      <c r="U79" s="315"/>
      <c r="V79" s="316"/>
      <c r="W79" s="315"/>
      <c r="X79" s="316"/>
      <c r="Y79" s="315"/>
      <c r="Z79" s="316"/>
      <c r="AA79" s="315"/>
      <c r="AB79" s="316"/>
      <c r="AC79" s="315"/>
      <c r="AD79" s="316"/>
      <c r="AE79" s="315"/>
      <c r="AF79" s="316"/>
      <c r="AG79" s="315"/>
      <c r="AH79" s="316"/>
      <c r="AI79" s="315"/>
      <c r="AJ79" s="316"/>
      <c r="AK79" s="315"/>
      <c r="AL79" s="316"/>
      <c r="AM79" s="315"/>
      <c r="AN79" s="316"/>
      <c r="AO79" s="315"/>
      <c r="AP79" s="312"/>
      <c r="AQ79" s="315"/>
      <c r="AR79" s="316"/>
      <c r="AS79" s="315"/>
      <c r="AT79" s="316"/>
      <c r="AU79" s="315"/>
      <c r="AV79" s="316"/>
      <c r="AW79" s="315"/>
      <c r="AX79" s="316"/>
      <c r="AY79" s="315"/>
      <c r="AZ79" s="316"/>
      <c r="BA79" s="315"/>
      <c r="BB79" s="316"/>
      <c r="BC79" s="315"/>
      <c r="BD79" s="316"/>
      <c r="BE79" s="315"/>
      <c r="BF79" s="316"/>
      <c r="BG79" s="315"/>
      <c r="BH79" s="316"/>
      <c r="BI79" s="315"/>
      <c r="BJ79" s="316"/>
      <c r="BK79" s="315"/>
      <c r="BL79" s="316"/>
      <c r="BM79" s="315"/>
      <c r="BN79" s="316"/>
      <c r="BO79" s="315"/>
      <c r="BP79" s="316"/>
      <c r="BQ79" s="315"/>
      <c r="BR79" s="316"/>
      <c r="BS79" s="315"/>
      <c r="BT79" s="316"/>
    </row>
    <row r="80" spans="1:72" ht="15.75" outlineLevel="1">
      <c r="A80" s="285"/>
      <c r="B80" s="788" t="s">
        <v>253</v>
      </c>
      <c r="C80" s="788"/>
      <c r="D80" s="788"/>
      <c r="E80" s="788"/>
      <c r="F80" s="788"/>
      <c r="G80" s="788"/>
      <c r="H80" s="788"/>
      <c r="I80" s="788"/>
      <c r="J80" s="788"/>
      <c r="K80" s="321"/>
      <c r="L80" s="334"/>
      <c r="M80" s="792"/>
      <c r="N80" s="792"/>
      <c r="O80" s="331"/>
      <c r="P80" s="322"/>
      <c r="Q80" s="322"/>
      <c r="R80" s="326"/>
      <c r="S80" s="793"/>
      <c r="T80" s="793"/>
      <c r="U80" s="315"/>
      <c r="V80" s="316"/>
      <c r="W80" s="315"/>
      <c r="X80" s="316"/>
      <c r="Y80" s="315"/>
      <c r="Z80" s="316"/>
      <c r="AA80" s="315"/>
      <c r="AB80" s="316"/>
      <c r="AC80" s="315"/>
      <c r="AD80" s="316"/>
      <c r="AE80" s="315"/>
      <c r="AF80" s="316"/>
      <c r="AG80" s="315"/>
      <c r="AH80" s="316"/>
      <c r="AI80" s="315"/>
      <c r="AJ80" s="316"/>
      <c r="AK80" s="315"/>
      <c r="AL80" s="316"/>
      <c r="AM80" s="315"/>
      <c r="AN80" s="316"/>
      <c r="AO80" s="315"/>
      <c r="AP80" s="312"/>
      <c r="AQ80" s="315"/>
      <c r="AR80" s="316"/>
      <c r="AS80" s="315"/>
      <c r="AT80" s="316"/>
      <c r="AU80" s="315"/>
      <c r="AV80" s="316"/>
      <c r="AW80" s="315"/>
      <c r="AX80" s="316"/>
      <c r="AY80" s="315"/>
      <c r="AZ80" s="316"/>
      <c r="BA80" s="315"/>
      <c r="BB80" s="316"/>
      <c r="BC80" s="315"/>
      <c r="BD80" s="316"/>
      <c r="BE80" s="315"/>
      <c r="BF80" s="316"/>
      <c r="BG80" s="315"/>
      <c r="BH80" s="316"/>
      <c r="BI80" s="315"/>
      <c r="BJ80" s="316"/>
      <c r="BK80" s="315"/>
      <c r="BL80" s="316"/>
      <c r="BM80" s="315"/>
      <c r="BN80" s="316"/>
      <c r="BO80" s="315"/>
      <c r="BP80" s="316"/>
      <c r="BQ80" s="315"/>
      <c r="BR80" s="316"/>
      <c r="BS80" s="315"/>
      <c r="BT80" s="316"/>
    </row>
    <row r="81" spans="1:72" outlineLevel="1">
      <c r="A81" s="285"/>
      <c r="B81" s="788" t="s">
        <v>254</v>
      </c>
      <c r="C81" s="788"/>
      <c r="D81" s="788"/>
      <c r="E81" s="788"/>
      <c r="F81" s="788"/>
      <c r="G81" s="788"/>
      <c r="H81" s="788"/>
      <c r="I81" s="788"/>
      <c r="J81" s="788"/>
      <c r="K81" s="335"/>
      <c r="L81" s="334"/>
      <c r="M81" s="789"/>
      <c r="N81" s="789"/>
      <c r="O81" s="336"/>
      <c r="P81" s="336"/>
      <c r="Q81" s="336"/>
      <c r="R81" s="336"/>
      <c r="S81" s="790"/>
      <c r="T81" s="790"/>
      <c r="U81" s="315"/>
      <c r="V81" s="316"/>
      <c r="W81" s="315"/>
      <c r="X81" s="316"/>
      <c r="Y81" s="315"/>
      <c r="Z81" s="316"/>
      <c r="AA81" s="315"/>
      <c r="AB81" s="316"/>
      <c r="AC81" s="315"/>
      <c r="AD81" s="316"/>
      <c r="AE81" s="315"/>
      <c r="AF81" s="316"/>
      <c r="AG81" s="315"/>
      <c r="AH81" s="316"/>
      <c r="AI81" s="315"/>
      <c r="AJ81" s="316"/>
      <c r="AK81" s="315"/>
      <c r="AL81" s="316"/>
      <c r="AM81" s="315"/>
      <c r="AN81" s="316"/>
      <c r="AO81" s="315"/>
      <c r="AP81" s="312"/>
      <c r="AQ81" s="315"/>
      <c r="AR81" s="316"/>
      <c r="AS81" s="315"/>
      <c r="AT81" s="316"/>
      <c r="AU81" s="315"/>
      <c r="AV81" s="316"/>
      <c r="AW81" s="315"/>
      <c r="AX81" s="316"/>
      <c r="AY81" s="315"/>
      <c r="AZ81" s="316"/>
      <c r="BA81" s="315"/>
      <c r="BB81" s="316"/>
      <c r="BC81" s="315"/>
      <c r="BD81" s="316"/>
      <c r="BE81" s="315"/>
      <c r="BF81" s="316"/>
      <c r="BG81" s="315"/>
      <c r="BH81" s="316"/>
      <c r="BI81" s="315"/>
      <c r="BJ81" s="316"/>
      <c r="BK81" s="315"/>
      <c r="BL81" s="316"/>
      <c r="BM81" s="315"/>
      <c r="BN81" s="316"/>
      <c r="BO81" s="315"/>
      <c r="BP81" s="316"/>
      <c r="BQ81" s="315"/>
      <c r="BR81" s="316"/>
      <c r="BS81" s="315"/>
      <c r="BT81" s="316"/>
    </row>
    <row r="82" spans="1:72">
      <c r="B82" s="788" t="s">
        <v>255</v>
      </c>
      <c r="C82" s="788"/>
      <c r="D82" s="788"/>
      <c r="E82" s="788"/>
      <c r="F82" s="788"/>
      <c r="G82" s="788"/>
      <c r="H82" s="788"/>
      <c r="I82" s="788"/>
      <c r="J82" s="788"/>
      <c r="K82" s="335"/>
      <c r="L82" s="334"/>
      <c r="M82" s="789"/>
      <c r="N82" s="789"/>
      <c r="O82" s="336"/>
      <c r="P82" s="336"/>
      <c r="Q82" s="336"/>
      <c r="R82" s="336"/>
      <c r="S82" s="790"/>
      <c r="T82" s="790"/>
      <c r="U82" s="315"/>
      <c r="V82" s="316"/>
      <c r="W82" s="315"/>
      <c r="X82" s="316"/>
      <c r="Y82" s="315"/>
      <c r="Z82" s="316"/>
      <c r="AA82" s="315"/>
      <c r="AB82" s="316"/>
      <c r="AC82" s="315"/>
      <c r="AD82" s="316"/>
      <c r="AE82" s="315"/>
      <c r="AF82" s="316"/>
      <c r="AG82" s="315"/>
      <c r="AH82" s="316"/>
      <c r="AI82" s="315"/>
      <c r="AJ82" s="316"/>
      <c r="AK82" s="315"/>
      <c r="AL82" s="316"/>
      <c r="AM82" s="315"/>
      <c r="AN82" s="316"/>
      <c r="AO82" s="315"/>
      <c r="AP82" s="312"/>
      <c r="AQ82" s="315"/>
      <c r="AR82" s="316"/>
      <c r="AS82" s="315"/>
      <c r="AT82" s="316"/>
      <c r="AU82" s="315"/>
      <c r="AV82" s="316"/>
      <c r="AW82" s="315"/>
      <c r="AX82" s="316"/>
      <c r="AY82" s="315"/>
      <c r="AZ82" s="316"/>
      <c r="BA82" s="315"/>
      <c r="BB82" s="316"/>
      <c r="BC82" s="315"/>
      <c r="BD82" s="316"/>
      <c r="BE82" s="315"/>
      <c r="BF82" s="316"/>
      <c r="BG82" s="315"/>
      <c r="BH82" s="316"/>
      <c r="BI82" s="315"/>
      <c r="BJ82" s="316"/>
      <c r="BK82" s="315"/>
      <c r="BL82" s="316"/>
      <c r="BM82" s="315"/>
      <c r="BN82" s="316"/>
      <c r="BO82" s="315"/>
      <c r="BP82" s="316"/>
      <c r="BQ82" s="315"/>
      <c r="BR82" s="316"/>
      <c r="BS82" s="315"/>
      <c r="BT82" s="316"/>
    </row>
  </sheetData>
  <sheetProtection selectLockedCells="1" selectUnlockedCells="1"/>
  <mergeCells count="219">
    <mergeCell ref="B65:T65"/>
    <mergeCell ref="B76:T76"/>
    <mergeCell ref="B2:R3"/>
    <mergeCell ref="S2:T3"/>
    <mergeCell ref="U2:BT34"/>
    <mergeCell ref="B4:J4"/>
    <mergeCell ref="L4:R4"/>
    <mergeCell ref="S4:T4"/>
    <mergeCell ref="F5:N5"/>
    <mergeCell ref="P5:R5"/>
    <mergeCell ref="S5:T5"/>
    <mergeCell ref="S6:T6"/>
    <mergeCell ref="B11:N11"/>
    <mergeCell ref="P11:R11"/>
    <mergeCell ref="S11:T11"/>
    <mergeCell ref="P13:R13"/>
    <mergeCell ref="S13:T13"/>
    <mergeCell ref="E15:L15"/>
    <mergeCell ref="P15:R15"/>
    <mergeCell ref="S15:T15"/>
    <mergeCell ref="F7:N7"/>
    <mergeCell ref="P7:R7"/>
    <mergeCell ref="S7:T7"/>
    <mergeCell ref="F9:N9"/>
    <mergeCell ref="P9:R9"/>
    <mergeCell ref="S9:T9"/>
    <mergeCell ref="B17:T17"/>
    <mergeCell ref="B18:I18"/>
    <mergeCell ref="J18:P18"/>
    <mergeCell ref="Q18:R18"/>
    <mergeCell ref="S18:T18"/>
    <mergeCell ref="B19:I19"/>
    <mergeCell ref="J19:P19"/>
    <mergeCell ref="Q19:R19"/>
    <mergeCell ref="S19:T19"/>
    <mergeCell ref="B22:I22"/>
    <mergeCell ref="J22:P22"/>
    <mergeCell ref="Q22:R22"/>
    <mergeCell ref="S22:T22"/>
    <mergeCell ref="B23:I23"/>
    <mergeCell ref="J23:P23"/>
    <mergeCell ref="Q23:R23"/>
    <mergeCell ref="S23:T23"/>
    <mergeCell ref="B20:I20"/>
    <mergeCell ref="J20:P20"/>
    <mergeCell ref="Q20:R20"/>
    <mergeCell ref="S20:T20"/>
    <mergeCell ref="B21:I21"/>
    <mergeCell ref="J21:P21"/>
    <mergeCell ref="Q21:R21"/>
    <mergeCell ref="S21:T21"/>
    <mergeCell ref="B27:F27"/>
    <mergeCell ref="G27:J27"/>
    <mergeCell ref="L27:O27"/>
    <mergeCell ref="R27:T27"/>
    <mergeCell ref="B28:F28"/>
    <mergeCell ref="G28:J28"/>
    <mergeCell ref="L28:O28"/>
    <mergeCell ref="R28:T28"/>
    <mergeCell ref="B24:T24"/>
    <mergeCell ref="B25:F26"/>
    <mergeCell ref="G25:J26"/>
    <mergeCell ref="L25:O26"/>
    <mergeCell ref="P25:Q26"/>
    <mergeCell ref="R25:T26"/>
    <mergeCell ref="B31:F31"/>
    <mergeCell ref="G31:J31"/>
    <mergeCell ref="L31:O31"/>
    <mergeCell ref="R31:T31"/>
    <mergeCell ref="B32:F32"/>
    <mergeCell ref="G32:J32"/>
    <mergeCell ref="L32:O32"/>
    <mergeCell ref="R32:T32"/>
    <mergeCell ref="B29:F29"/>
    <mergeCell ref="G29:J29"/>
    <mergeCell ref="L29:O29"/>
    <mergeCell ref="R29:T29"/>
    <mergeCell ref="B30:F30"/>
    <mergeCell ref="G30:J30"/>
    <mergeCell ref="L30:O30"/>
    <mergeCell ref="R30:T30"/>
    <mergeCell ref="U35:BT35"/>
    <mergeCell ref="M36:N36"/>
    <mergeCell ref="S36:T36"/>
    <mergeCell ref="M37:N37"/>
    <mergeCell ref="S37:T37"/>
    <mergeCell ref="B39:J39"/>
    <mergeCell ref="M39:N39"/>
    <mergeCell ref="S39:T39"/>
    <mergeCell ref="B33:F33"/>
    <mergeCell ref="G33:J33"/>
    <mergeCell ref="L33:O33"/>
    <mergeCell ref="R33:T33"/>
    <mergeCell ref="B34:T34"/>
    <mergeCell ref="B35:J37"/>
    <mergeCell ref="M35:N35"/>
    <mergeCell ref="S35:T35"/>
    <mergeCell ref="B38:T38"/>
    <mergeCell ref="B42:J42"/>
    <mergeCell ref="M42:N42"/>
    <mergeCell ref="S42:T42"/>
    <mergeCell ref="B43:J43"/>
    <mergeCell ref="M43:N43"/>
    <mergeCell ref="S43:T43"/>
    <mergeCell ref="B40:J40"/>
    <mergeCell ref="M40:N40"/>
    <mergeCell ref="S40:T40"/>
    <mergeCell ref="B41:J41"/>
    <mergeCell ref="M41:N41"/>
    <mergeCell ref="S41:T41"/>
    <mergeCell ref="B46:J46"/>
    <mergeCell ref="M46:N46"/>
    <mergeCell ref="S46:T46"/>
    <mergeCell ref="B47:J47"/>
    <mergeCell ref="M47:N47"/>
    <mergeCell ref="S47:T47"/>
    <mergeCell ref="B44:J44"/>
    <mergeCell ref="M44:N44"/>
    <mergeCell ref="S44:T44"/>
    <mergeCell ref="B45:J45"/>
    <mergeCell ref="M45:N45"/>
    <mergeCell ref="S45:T45"/>
    <mergeCell ref="B51:J51"/>
    <mergeCell ref="M51:N51"/>
    <mergeCell ref="S51:T51"/>
    <mergeCell ref="B52:J52"/>
    <mergeCell ref="M52:N52"/>
    <mergeCell ref="S52:T52"/>
    <mergeCell ref="B48:J48"/>
    <mergeCell ref="M48:N48"/>
    <mergeCell ref="S48:T48"/>
    <mergeCell ref="B49:J49"/>
    <mergeCell ref="M49:N49"/>
    <mergeCell ref="S49:T49"/>
    <mergeCell ref="B50:T50"/>
    <mergeCell ref="B55:J55"/>
    <mergeCell ref="M55:N55"/>
    <mergeCell ref="S55:T55"/>
    <mergeCell ref="B56:J56"/>
    <mergeCell ref="M56:N56"/>
    <mergeCell ref="S56:T56"/>
    <mergeCell ref="B53:J53"/>
    <mergeCell ref="M53:N53"/>
    <mergeCell ref="S53:T53"/>
    <mergeCell ref="B54:J54"/>
    <mergeCell ref="M54:N54"/>
    <mergeCell ref="S54:T54"/>
    <mergeCell ref="B59:J59"/>
    <mergeCell ref="M59:N59"/>
    <mergeCell ref="S59:T59"/>
    <mergeCell ref="B60:J60"/>
    <mergeCell ref="M60:N60"/>
    <mergeCell ref="S60:T60"/>
    <mergeCell ref="B57:J57"/>
    <mergeCell ref="M57:N57"/>
    <mergeCell ref="S57:T57"/>
    <mergeCell ref="B58:J58"/>
    <mergeCell ref="M58:N58"/>
    <mergeCell ref="S58:T58"/>
    <mergeCell ref="B63:J63"/>
    <mergeCell ref="M63:N63"/>
    <mergeCell ref="S63:T63"/>
    <mergeCell ref="B64:J64"/>
    <mergeCell ref="M64:N64"/>
    <mergeCell ref="S64:T64"/>
    <mergeCell ref="B61:J61"/>
    <mergeCell ref="M61:N61"/>
    <mergeCell ref="S61:T61"/>
    <mergeCell ref="B62:J62"/>
    <mergeCell ref="M62:N62"/>
    <mergeCell ref="S62:T62"/>
    <mergeCell ref="B68:J68"/>
    <mergeCell ref="M68:N68"/>
    <mergeCell ref="S68:T68"/>
    <mergeCell ref="B69:J69"/>
    <mergeCell ref="M69:N69"/>
    <mergeCell ref="S69:T69"/>
    <mergeCell ref="B66:J66"/>
    <mergeCell ref="M66:N66"/>
    <mergeCell ref="S66:T66"/>
    <mergeCell ref="B67:J67"/>
    <mergeCell ref="M67:N67"/>
    <mergeCell ref="S67:T67"/>
    <mergeCell ref="B72:J72"/>
    <mergeCell ref="M72:N72"/>
    <mergeCell ref="S72:T72"/>
    <mergeCell ref="B73:J73"/>
    <mergeCell ref="M73:N73"/>
    <mergeCell ref="S73:T73"/>
    <mergeCell ref="B70:J70"/>
    <mergeCell ref="M70:N70"/>
    <mergeCell ref="S70:T70"/>
    <mergeCell ref="B71:J71"/>
    <mergeCell ref="M71:N71"/>
    <mergeCell ref="S71:T71"/>
    <mergeCell ref="B77:J77"/>
    <mergeCell ref="M77:N77"/>
    <mergeCell ref="S77:T77"/>
    <mergeCell ref="B78:J78"/>
    <mergeCell ref="M78:N78"/>
    <mergeCell ref="S78:T78"/>
    <mergeCell ref="B74:J74"/>
    <mergeCell ref="M74:N74"/>
    <mergeCell ref="S74:T74"/>
    <mergeCell ref="B75:J75"/>
    <mergeCell ref="M75:N75"/>
    <mergeCell ref="S75:T75"/>
    <mergeCell ref="B81:J81"/>
    <mergeCell ref="M81:N81"/>
    <mergeCell ref="S81:T81"/>
    <mergeCell ref="B82:J82"/>
    <mergeCell ref="M82:N82"/>
    <mergeCell ref="S82:T82"/>
    <mergeCell ref="B79:J79"/>
    <mergeCell ref="M79:N79"/>
    <mergeCell ref="S79:T79"/>
    <mergeCell ref="B80:J80"/>
    <mergeCell ref="M80:N80"/>
    <mergeCell ref="S80:T80"/>
  </mergeCells>
  <conditionalFormatting sqref="L45:L48 L51:L54 L56:L64 L66:L75 M72:N72 L39:L43">
    <cfRule type="cellIs" dxfId="35" priority="1" stopIfTrue="1" operator="equal">
      <formula>"G"</formula>
    </cfRule>
    <cfRule type="cellIs" dxfId="34" priority="2" stopIfTrue="1" operator="equal">
      <formula>"Y"</formula>
    </cfRule>
    <cfRule type="cellIs" dxfId="33" priority="3" stopIfTrue="1" operator="equal">
      <formula>"R"</formula>
    </cfRule>
  </conditionalFormatting>
  <conditionalFormatting sqref="L49">
    <cfRule type="cellIs" dxfId="32" priority="4" stopIfTrue="1" operator="equal">
      <formula>"G"</formula>
    </cfRule>
    <cfRule type="cellIs" dxfId="31" priority="5" stopIfTrue="1" operator="equal">
      <formula>"Y"</formula>
    </cfRule>
    <cfRule type="cellIs" dxfId="30" priority="6" stopIfTrue="1" operator="equal">
      <formula>"R"</formula>
    </cfRule>
  </conditionalFormatting>
  <conditionalFormatting sqref="L55">
    <cfRule type="cellIs" dxfId="29" priority="7" stopIfTrue="1" operator="equal">
      <formula>"G"</formula>
    </cfRule>
    <cfRule type="cellIs" dxfId="28" priority="8" stopIfTrue="1" operator="equal">
      <formula>"Y"</formula>
    </cfRule>
    <cfRule type="cellIs" dxfId="27" priority="9" stopIfTrue="1" operator="equal">
      <formula>"R"</formula>
    </cfRule>
  </conditionalFormatting>
  <conditionalFormatting sqref="L82">
    <cfRule type="cellIs" dxfId="26" priority="10" stopIfTrue="1" operator="equal">
      <formula>"G"</formula>
    </cfRule>
    <cfRule type="cellIs" dxfId="25" priority="11" stopIfTrue="1" operator="equal">
      <formula>"Y"</formula>
    </cfRule>
    <cfRule type="cellIs" dxfId="24" priority="12" stopIfTrue="1" operator="equal">
      <formula>"R"</formula>
    </cfRule>
  </conditionalFormatting>
  <conditionalFormatting sqref="L81">
    <cfRule type="cellIs" dxfId="23" priority="13" stopIfTrue="1" operator="equal">
      <formula>"G"</formula>
    </cfRule>
    <cfRule type="cellIs" dxfId="22" priority="14" stopIfTrue="1" operator="equal">
      <formula>"Y"</formula>
    </cfRule>
    <cfRule type="cellIs" dxfId="21" priority="15" stopIfTrue="1" operator="equal">
      <formula>"R"</formula>
    </cfRule>
  </conditionalFormatting>
  <conditionalFormatting sqref="L80">
    <cfRule type="cellIs" dxfId="20" priority="16" stopIfTrue="1" operator="equal">
      <formula>"G"</formula>
    </cfRule>
    <cfRule type="cellIs" dxfId="19" priority="17" stopIfTrue="1" operator="equal">
      <formula>"Y"</formula>
    </cfRule>
    <cfRule type="cellIs" dxfId="18" priority="18" stopIfTrue="1" operator="equal">
      <formula>"R"</formula>
    </cfRule>
  </conditionalFormatting>
  <conditionalFormatting sqref="L44">
    <cfRule type="cellIs" dxfId="17" priority="19" stopIfTrue="1" operator="equal">
      <formula>"G"</formula>
    </cfRule>
    <cfRule type="cellIs" dxfId="16" priority="20" stopIfTrue="1" operator="equal">
      <formula>"Y"</formula>
    </cfRule>
    <cfRule type="cellIs" dxfId="15" priority="21" stopIfTrue="1" operator="equal">
      <formula>"R"</formula>
    </cfRule>
  </conditionalFormatting>
  <conditionalFormatting sqref="L77">
    <cfRule type="cellIs" dxfId="14" priority="22" stopIfTrue="1" operator="equal">
      <formula>"G"</formula>
    </cfRule>
    <cfRule type="cellIs" dxfId="13" priority="23" stopIfTrue="1" operator="equal">
      <formula>"Y"</formula>
    </cfRule>
    <cfRule type="cellIs" dxfId="12" priority="24" stopIfTrue="1" operator="equal">
      <formula>"R"</formula>
    </cfRule>
  </conditionalFormatting>
  <conditionalFormatting sqref="L78">
    <cfRule type="cellIs" dxfId="11" priority="25" stopIfTrue="1" operator="equal">
      <formula>"G"</formula>
    </cfRule>
    <cfRule type="cellIs" dxfId="10" priority="26" stopIfTrue="1" operator="equal">
      <formula>"Y"</formula>
    </cfRule>
    <cfRule type="cellIs" dxfId="9" priority="27" stopIfTrue="1" operator="equal">
      <formula>"R"</formula>
    </cfRule>
  </conditionalFormatting>
  <conditionalFormatting sqref="L79">
    <cfRule type="cellIs" dxfId="8" priority="28" stopIfTrue="1" operator="equal">
      <formula>"G"</formula>
    </cfRule>
    <cfRule type="cellIs" dxfId="7" priority="29" stopIfTrue="1" operator="equal">
      <formula>"Y"</formula>
    </cfRule>
    <cfRule type="cellIs" dxfId="6" priority="30" stopIfTrue="1" operator="equal">
      <formula>"R"</formula>
    </cfRule>
  </conditionalFormatting>
  <printOptions horizontalCentered="1"/>
  <pageMargins left="0.25" right="0.25" top="0.75" bottom="0.75" header="0.51180555555555551" footer="0.3"/>
  <pageSetup firstPageNumber="0" fitToHeight="0" orientation="landscape" horizontalDpi="300" verticalDpi="300" r:id="rId1"/>
  <headerFooter alignWithMargins="0">
    <oddFooter xml:space="preserve">&amp;L&amp;"Lucida Grande,Regular"&amp;F&amp;C&amp;"Lucida Grande,Regular"&amp;A Page &amp;P/&amp;N&amp;R&amp;"Lucida Grande,Regular"Rev. Date: </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FD2B0-606B-46BC-87A7-5EA4D3F86E40}">
  <sheetPr>
    <tabColor rgb="FFFFFF00"/>
    <pageSetUpPr fitToPage="1"/>
  </sheetPr>
  <dimension ref="B1:H39"/>
  <sheetViews>
    <sheetView zoomScale="105" zoomScaleNormal="105" workbookViewId="0">
      <selection activeCell="E12" sqref="E12"/>
    </sheetView>
  </sheetViews>
  <sheetFormatPr defaultColWidth="8.7109375" defaultRowHeight="12.75"/>
  <cols>
    <col min="1" max="1" width="2.85546875" style="337" customWidth="1"/>
    <col min="2" max="2" width="12.7109375" style="337" customWidth="1"/>
    <col min="3" max="3" width="14.7109375" style="337" customWidth="1"/>
    <col min="4" max="5" width="45.7109375" style="337" customWidth="1"/>
    <col min="6" max="6" width="20.7109375" style="337" customWidth="1"/>
    <col min="7" max="8" width="14.7109375" style="337" customWidth="1"/>
    <col min="9" max="256" width="8.7109375" style="337"/>
    <col min="257" max="257" width="2.85546875" style="337" customWidth="1"/>
    <col min="258" max="258" width="12.7109375" style="337" customWidth="1"/>
    <col min="259" max="259" width="14.7109375" style="337" customWidth="1"/>
    <col min="260" max="261" width="45.7109375" style="337" customWidth="1"/>
    <col min="262" max="262" width="20.7109375" style="337" customWidth="1"/>
    <col min="263" max="264" width="14.7109375" style="337" customWidth="1"/>
    <col min="265" max="512" width="8.7109375" style="337"/>
    <col min="513" max="513" width="2.85546875" style="337" customWidth="1"/>
    <col min="514" max="514" width="12.7109375" style="337" customWidth="1"/>
    <col min="515" max="515" width="14.7109375" style="337" customWidth="1"/>
    <col min="516" max="517" width="45.7109375" style="337" customWidth="1"/>
    <col min="518" max="518" width="20.7109375" style="337" customWidth="1"/>
    <col min="519" max="520" width="14.7109375" style="337" customWidth="1"/>
    <col min="521" max="768" width="8.7109375" style="337"/>
    <col min="769" max="769" width="2.85546875" style="337" customWidth="1"/>
    <col min="770" max="770" width="12.7109375" style="337" customWidth="1"/>
    <col min="771" max="771" width="14.7109375" style="337" customWidth="1"/>
    <col min="772" max="773" width="45.7109375" style="337" customWidth="1"/>
    <col min="774" max="774" width="20.7109375" style="337" customWidth="1"/>
    <col min="775" max="776" width="14.7109375" style="337" customWidth="1"/>
    <col min="777" max="1024" width="8.7109375" style="337"/>
    <col min="1025" max="1025" width="2.85546875" style="337" customWidth="1"/>
    <col min="1026" max="1026" width="12.7109375" style="337" customWidth="1"/>
    <col min="1027" max="1027" width="14.7109375" style="337" customWidth="1"/>
    <col min="1028" max="1029" width="45.7109375" style="337" customWidth="1"/>
    <col min="1030" max="1030" width="20.7109375" style="337" customWidth="1"/>
    <col min="1031" max="1032" width="14.7109375" style="337" customWidth="1"/>
    <col min="1033" max="1280" width="8.7109375" style="337"/>
    <col min="1281" max="1281" width="2.85546875" style="337" customWidth="1"/>
    <col min="1282" max="1282" width="12.7109375" style="337" customWidth="1"/>
    <col min="1283" max="1283" width="14.7109375" style="337" customWidth="1"/>
    <col min="1284" max="1285" width="45.7109375" style="337" customWidth="1"/>
    <col min="1286" max="1286" width="20.7109375" style="337" customWidth="1"/>
    <col min="1287" max="1288" width="14.7109375" style="337" customWidth="1"/>
    <col min="1289" max="1536" width="8.7109375" style="337"/>
    <col min="1537" max="1537" width="2.85546875" style="337" customWidth="1"/>
    <col min="1538" max="1538" width="12.7109375" style="337" customWidth="1"/>
    <col min="1539" max="1539" width="14.7109375" style="337" customWidth="1"/>
    <col min="1540" max="1541" width="45.7109375" style="337" customWidth="1"/>
    <col min="1542" max="1542" width="20.7109375" style="337" customWidth="1"/>
    <col min="1543" max="1544" width="14.7109375" style="337" customWidth="1"/>
    <col min="1545" max="1792" width="8.7109375" style="337"/>
    <col min="1793" max="1793" width="2.85546875" style="337" customWidth="1"/>
    <col min="1794" max="1794" width="12.7109375" style="337" customWidth="1"/>
    <col min="1795" max="1795" width="14.7109375" style="337" customWidth="1"/>
    <col min="1796" max="1797" width="45.7109375" style="337" customWidth="1"/>
    <col min="1798" max="1798" width="20.7109375" style="337" customWidth="1"/>
    <col min="1799" max="1800" width="14.7109375" style="337" customWidth="1"/>
    <col min="1801" max="2048" width="8.7109375" style="337"/>
    <col min="2049" max="2049" width="2.85546875" style="337" customWidth="1"/>
    <col min="2050" max="2050" width="12.7109375" style="337" customWidth="1"/>
    <col min="2051" max="2051" width="14.7109375" style="337" customWidth="1"/>
    <col min="2052" max="2053" width="45.7109375" style="337" customWidth="1"/>
    <col min="2054" max="2054" width="20.7109375" style="337" customWidth="1"/>
    <col min="2055" max="2056" width="14.7109375" style="337" customWidth="1"/>
    <col min="2057" max="2304" width="8.7109375" style="337"/>
    <col min="2305" max="2305" width="2.85546875" style="337" customWidth="1"/>
    <col min="2306" max="2306" width="12.7109375" style="337" customWidth="1"/>
    <col min="2307" max="2307" width="14.7109375" style="337" customWidth="1"/>
    <col min="2308" max="2309" width="45.7109375" style="337" customWidth="1"/>
    <col min="2310" max="2310" width="20.7109375" style="337" customWidth="1"/>
    <col min="2311" max="2312" width="14.7109375" style="337" customWidth="1"/>
    <col min="2313" max="2560" width="8.7109375" style="337"/>
    <col min="2561" max="2561" width="2.85546875" style="337" customWidth="1"/>
    <col min="2562" max="2562" width="12.7109375" style="337" customWidth="1"/>
    <col min="2563" max="2563" width="14.7109375" style="337" customWidth="1"/>
    <col min="2564" max="2565" width="45.7109375" style="337" customWidth="1"/>
    <col min="2566" max="2566" width="20.7109375" style="337" customWidth="1"/>
    <col min="2567" max="2568" width="14.7109375" style="337" customWidth="1"/>
    <col min="2569" max="2816" width="8.7109375" style="337"/>
    <col min="2817" max="2817" width="2.85546875" style="337" customWidth="1"/>
    <col min="2818" max="2818" width="12.7109375" style="337" customWidth="1"/>
    <col min="2819" max="2819" width="14.7109375" style="337" customWidth="1"/>
    <col min="2820" max="2821" width="45.7109375" style="337" customWidth="1"/>
    <col min="2822" max="2822" width="20.7109375" style="337" customWidth="1"/>
    <col min="2823" max="2824" width="14.7109375" style="337" customWidth="1"/>
    <col min="2825" max="3072" width="8.7109375" style="337"/>
    <col min="3073" max="3073" width="2.85546875" style="337" customWidth="1"/>
    <col min="3074" max="3074" width="12.7109375" style="337" customWidth="1"/>
    <col min="3075" max="3075" width="14.7109375" style="337" customWidth="1"/>
    <col min="3076" max="3077" width="45.7109375" style="337" customWidth="1"/>
    <col min="3078" max="3078" width="20.7109375" style="337" customWidth="1"/>
    <col min="3079" max="3080" width="14.7109375" style="337" customWidth="1"/>
    <col min="3081" max="3328" width="8.7109375" style="337"/>
    <col min="3329" max="3329" width="2.85546875" style="337" customWidth="1"/>
    <col min="3330" max="3330" width="12.7109375" style="337" customWidth="1"/>
    <col min="3331" max="3331" width="14.7109375" style="337" customWidth="1"/>
    <col min="3332" max="3333" width="45.7109375" style="337" customWidth="1"/>
    <col min="3334" max="3334" width="20.7109375" style="337" customWidth="1"/>
    <col min="3335" max="3336" width="14.7109375" style="337" customWidth="1"/>
    <col min="3337" max="3584" width="8.7109375" style="337"/>
    <col min="3585" max="3585" width="2.85546875" style="337" customWidth="1"/>
    <col min="3586" max="3586" width="12.7109375" style="337" customWidth="1"/>
    <col min="3587" max="3587" width="14.7109375" style="337" customWidth="1"/>
    <col min="3588" max="3589" width="45.7109375" style="337" customWidth="1"/>
    <col min="3590" max="3590" width="20.7109375" style="337" customWidth="1"/>
    <col min="3591" max="3592" width="14.7109375" style="337" customWidth="1"/>
    <col min="3593" max="3840" width="8.7109375" style="337"/>
    <col min="3841" max="3841" width="2.85546875" style="337" customWidth="1"/>
    <col min="3842" max="3842" width="12.7109375" style="337" customWidth="1"/>
    <col min="3843" max="3843" width="14.7109375" style="337" customWidth="1"/>
    <col min="3844" max="3845" width="45.7109375" style="337" customWidth="1"/>
    <col min="3846" max="3846" width="20.7109375" style="337" customWidth="1"/>
    <col min="3847" max="3848" width="14.7109375" style="337" customWidth="1"/>
    <col min="3849" max="4096" width="8.7109375" style="337"/>
    <col min="4097" max="4097" width="2.85546875" style="337" customWidth="1"/>
    <col min="4098" max="4098" width="12.7109375" style="337" customWidth="1"/>
    <col min="4099" max="4099" width="14.7109375" style="337" customWidth="1"/>
    <col min="4100" max="4101" width="45.7109375" style="337" customWidth="1"/>
    <col min="4102" max="4102" width="20.7109375" style="337" customWidth="1"/>
    <col min="4103" max="4104" width="14.7109375" style="337" customWidth="1"/>
    <col min="4105" max="4352" width="8.7109375" style="337"/>
    <col min="4353" max="4353" width="2.85546875" style="337" customWidth="1"/>
    <col min="4354" max="4354" width="12.7109375" style="337" customWidth="1"/>
    <col min="4355" max="4355" width="14.7109375" style="337" customWidth="1"/>
    <col min="4356" max="4357" width="45.7109375" style="337" customWidth="1"/>
    <col min="4358" max="4358" width="20.7109375" style="337" customWidth="1"/>
    <col min="4359" max="4360" width="14.7109375" style="337" customWidth="1"/>
    <col min="4361" max="4608" width="8.7109375" style="337"/>
    <col min="4609" max="4609" width="2.85546875" style="337" customWidth="1"/>
    <col min="4610" max="4610" width="12.7109375" style="337" customWidth="1"/>
    <col min="4611" max="4611" width="14.7109375" style="337" customWidth="1"/>
    <col min="4612" max="4613" width="45.7109375" style="337" customWidth="1"/>
    <col min="4614" max="4614" width="20.7109375" style="337" customWidth="1"/>
    <col min="4615" max="4616" width="14.7109375" style="337" customWidth="1"/>
    <col min="4617" max="4864" width="8.7109375" style="337"/>
    <col min="4865" max="4865" width="2.85546875" style="337" customWidth="1"/>
    <col min="4866" max="4866" width="12.7109375" style="337" customWidth="1"/>
    <col min="4867" max="4867" width="14.7109375" style="337" customWidth="1"/>
    <col min="4868" max="4869" width="45.7109375" style="337" customWidth="1"/>
    <col min="4870" max="4870" width="20.7109375" style="337" customWidth="1"/>
    <col min="4871" max="4872" width="14.7109375" style="337" customWidth="1"/>
    <col min="4873" max="5120" width="8.7109375" style="337"/>
    <col min="5121" max="5121" width="2.85546875" style="337" customWidth="1"/>
    <col min="5122" max="5122" width="12.7109375" style="337" customWidth="1"/>
    <col min="5123" max="5123" width="14.7109375" style="337" customWidth="1"/>
    <col min="5124" max="5125" width="45.7109375" style="337" customWidth="1"/>
    <col min="5126" max="5126" width="20.7109375" style="337" customWidth="1"/>
    <col min="5127" max="5128" width="14.7109375" style="337" customWidth="1"/>
    <col min="5129" max="5376" width="8.7109375" style="337"/>
    <col min="5377" max="5377" width="2.85546875" style="337" customWidth="1"/>
    <col min="5378" max="5378" width="12.7109375" style="337" customWidth="1"/>
    <col min="5379" max="5379" width="14.7109375" style="337" customWidth="1"/>
    <col min="5380" max="5381" width="45.7109375" style="337" customWidth="1"/>
    <col min="5382" max="5382" width="20.7109375" style="337" customWidth="1"/>
    <col min="5383" max="5384" width="14.7109375" style="337" customWidth="1"/>
    <col min="5385" max="5632" width="8.7109375" style="337"/>
    <col min="5633" max="5633" width="2.85546875" style="337" customWidth="1"/>
    <col min="5634" max="5634" width="12.7109375" style="337" customWidth="1"/>
    <col min="5635" max="5635" width="14.7109375" style="337" customWidth="1"/>
    <col min="5636" max="5637" width="45.7109375" style="337" customWidth="1"/>
    <col min="5638" max="5638" width="20.7109375" style="337" customWidth="1"/>
    <col min="5639" max="5640" width="14.7109375" style="337" customWidth="1"/>
    <col min="5641" max="5888" width="8.7109375" style="337"/>
    <col min="5889" max="5889" width="2.85546875" style="337" customWidth="1"/>
    <col min="5890" max="5890" width="12.7109375" style="337" customWidth="1"/>
    <col min="5891" max="5891" width="14.7109375" style="337" customWidth="1"/>
    <col min="5892" max="5893" width="45.7109375" style="337" customWidth="1"/>
    <col min="5894" max="5894" width="20.7109375" style="337" customWidth="1"/>
    <col min="5895" max="5896" width="14.7109375" style="337" customWidth="1"/>
    <col min="5897" max="6144" width="8.7109375" style="337"/>
    <col min="6145" max="6145" width="2.85546875" style="337" customWidth="1"/>
    <col min="6146" max="6146" width="12.7109375" style="337" customWidth="1"/>
    <col min="6147" max="6147" width="14.7109375" style="337" customWidth="1"/>
    <col min="6148" max="6149" width="45.7109375" style="337" customWidth="1"/>
    <col min="6150" max="6150" width="20.7109375" style="337" customWidth="1"/>
    <col min="6151" max="6152" width="14.7109375" style="337" customWidth="1"/>
    <col min="6153" max="6400" width="8.7109375" style="337"/>
    <col min="6401" max="6401" width="2.85546875" style="337" customWidth="1"/>
    <col min="6402" max="6402" width="12.7109375" style="337" customWidth="1"/>
    <col min="6403" max="6403" width="14.7109375" style="337" customWidth="1"/>
    <col min="6404" max="6405" width="45.7109375" style="337" customWidth="1"/>
    <col min="6406" max="6406" width="20.7109375" style="337" customWidth="1"/>
    <col min="6407" max="6408" width="14.7109375" style="337" customWidth="1"/>
    <col min="6409" max="6656" width="8.7109375" style="337"/>
    <col min="6657" max="6657" width="2.85546875" style="337" customWidth="1"/>
    <col min="6658" max="6658" width="12.7109375" style="337" customWidth="1"/>
    <col min="6659" max="6659" width="14.7109375" style="337" customWidth="1"/>
    <col min="6660" max="6661" width="45.7109375" style="337" customWidth="1"/>
    <col min="6662" max="6662" width="20.7109375" style="337" customWidth="1"/>
    <col min="6663" max="6664" width="14.7109375" style="337" customWidth="1"/>
    <col min="6665" max="6912" width="8.7109375" style="337"/>
    <col min="6913" max="6913" width="2.85546875" style="337" customWidth="1"/>
    <col min="6914" max="6914" width="12.7109375" style="337" customWidth="1"/>
    <col min="6915" max="6915" width="14.7109375" style="337" customWidth="1"/>
    <col min="6916" max="6917" width="45.7109375" style="337" customWidth="1"/>
    <col min="6918" max="6918" width="20.7109375" style="337" customWidth="1"/>
    <col min="6919" max="6920" width="14.7109375" style="337" customWidth="1"/>
    <col min="6921" max="7168" width="8.7109375" style="337"/>
    <col min="7169" max="7169" width="2.85546875" style="337" customWidth="1"/>
    <col min="7170" max="7170" width="12.7109375" style="337" customWidth="1"/>
    <col min="7171" max="7171" width="14.7109375" style="337" customWidth="1"/>
    <col min="7172" max="7173" width="45.7109375" style="337" customWidth="1"/>
    <col min="7174" max="7174" width="20.7109375" style="337" customWidth="1"/>
    <col min="7175" max="7176" width="14.7109375" style="337" customWidth="1"/>
    <col min="7177" max="7424" width="8.7109375" style="337"/>
    <col min="7425" max="7425" width="2.85546875" style="337" customWidth="1"/>
    <col min="7426" max="7426" width="12.7109375" style="337" customWidth="1"/>
    <col min="7427" max="7427" width="14.7109375" style="337" customWidth="1"/>
    <col min="7428" max="7429" width="45.7109375" style="337" customWidth="1"/>
    <col min="7430" max="7430" width="20.7109375" style="337" customWidth="1"/>
    <col min="7431" max="7432" width="14.7109375" style="337" customWidth="1"/>
    <col min="7433" max="7680" width="8.7109375" style="337"/>
    <col min="7681" max="7681" width="2.85546875" style="337" customWidth="1"/>
    <col min="7682" max="7682" width="12.7109375" style="337" customWidth="1"/>
    <col min="7683" max="7683" width="14.7109375" style="337" customWidth="1"/>
    <col min="7684" max="7685" width="45.7109375" style="337" customWidth="1"/>
    <col min="7686" max="7686" width="20.7109375" style="337" customWidth="1"/>
    <col min="7687" max="7688" width="14.7109375" style="337" customWidth="1"/>
    <col min="7689" max="7936" width="8.7109375" style="337"/>
    <col min="7937" max="7937" width="2.85546875" style="337" customWidth="1"/>
    <col min="7938" max="7938" width="12.7109375" style="337" customWidth="1"/>
    <col min="7939" max="7939" width="14.7109375" style="337" customWidth="1"/>
    <col min="7940" max="7941" width="45.7109375" style="337" customWidth="1"/>
    <col min="7942" max="7942" width="20.7109375" style="337" customWidth="1"/>
    <col min="7943" max="7944" width="14.7109375" style="337" customWidth="1"/>
    <col min="7945" max="8192" width="8.7109375" style="337"/>
    <col min="8193" max="8193" width="2.85546875" style="337" customWidth="1"/>
    <col min="8194" max="8194" width="12.7109375" style="337" customWidth="1"/>
    <col min="8195" max="8195" width="14.7109375" style="337" customWidth="1"/>
    <col min="8196" max="8197" width="45.7109375" style="337" customWidth="1"/>
    <col min="8198" max="8198" width="20.7109375" style="337" customWidth="1"/>
    <col min="8199" max="8200" width="14.7109375" style="337" customWidth="1"/>
    <col min="8201" max="8448" width="8.7109375" style="337"/>
    <col min="8449" max="8449" width="2.85546875" style="337" customWidth="1"/>
    <col min="8450" max="8450" width="12.7109375" style="337" customWidth="1"/>
    <col min="8451" max="8451" width="14.7109375" style="337" customWidth="1"/>
    <col min="8452" max="8453" width="45.7109375" style="337" customWidth="1"/>
    <col min="8454" max="8454" width="20.7109375" style="337" customWidth="1"/>
    <col min="8455" max="8456" width="14.7109375" style="337" customWidth="1"/>
    <col min="8457" max="8704" width="8.7109375" style="337"/>
    <col min="8705" max="8705" width="2.85546875" style="337" customWidth="1"/>
    <col min="8706" max="8706" width="12.7109375" style="337" customWidth="1"/>
    <col min="8707" max="8707" width="14.7109375" style="337" customWidth="1"/>
    <col min="8708" max="8709" width="45.7109375" style="337" customWidth="1"/>
    <col min="8710" max="8710" width="20.7109375" style="337" customWidth="1"/>
    <col min="8711" max="8712" width="14.7109375" style="337" customWidth="1"/>
    <col min="8713" max="8960" width="8.7109375" style="337"/>
    <col min="8961" max="8961" width="2.85546875" style="337" customWidth="1"/>
    <col min="8962" max="8962" width="12.7109375" style="337" customWidth="1"/>
    <col min="8963" max="8963" width="14.7109375" style="337" customWidth="1"/>
    <col min="8964" max="8965" width="45.7109375" style="337" customWidth="1"/>
    <col min="8966" max="8966" width="20.7109375" style="337" customWidth="1"/>
    <col min="8967" max="8968" width="14.7109375" style="337" customWidth="1"/>
    <col min="8969" max="9216" width="8.7109375" style="337"/>
    <col min="9217" max="9217" width="2.85546875" style="337" customWidth="1"/>
    <col min="9218" max="9218" width="12.7109375" style="337" customWidth="1"/>
    <col min="9219" max="9219" width="14.7109375" style="337" customWidth="1"/>
    <col min="9220" max="9221" width="45.7109375" style="337" customWidth="1"/>
    <col min="9222" max="9222" width="20.7109375" style="337" customWidth="1"/>
    <col min="9223" max="9224" width="14.7109375" style="337" customWidth="1"/>
    <col min="9225" max="9472" width="8.7109375" style="337"/>
    <col min="9473" max="9473" width="2.85546875" style="337" customWidth="1"/>
    <col min="9474" max="9474" width="12.7109375" style="337" customWidth="1"/>
    <col min="9475" max="9475" width="14.7109375" style="337" customWidth="1"/>
    <col min="9476" max="9477" width="45.7109375" style="337" customWidth="1"/>
    <col min="9478" max="9478" width="20.7109375" style="337" customWidth="1"/>
    <col min="9479" max="9480" width="14.7109375" style="337" customWidth="1"/>
    <col min="9481" max="9728" width="8.7109375" style="337"/>
    <col min="9729" max="9729" width="2.85546875" style="337" customWidth="1"/>
    <col min="9730" max="9730" width="12.7109375" style="337" customWidth="1"/>
    <col min="9731" max="9731" width="14.7109375" style="337" customWidth="1"/>
    <col min="9732" max="9733" width="45.7109375" style="337" customWidth="1"/>
    <col min="9734" max="9734" width="20.7109375" style="337" customWidth="1"/>
    <col min="9735" max="9736" width="14.7109375" style="337" customWidth="1"/>
    <col min="9737" max="9984" width="8.7109375" style="337"/>
    <col min="9985" max="9985" width="2.85546875" style="337" customWidth="1"/>
    <col min="9986" max="9986" width="12.7109375" style="337" customWidth="1"/>
    <col min="9987" max="9987" width="14.7109375" style="337" customWidth="1"/>
    <col min="9988" max="9989" width="45.7109375" style="337" customWidth="1"/>
    <col min="9990" max="9990" width="20.7109375" style="337" customWidth="1"/>
    <col min="9991" max="9992" width="14.7109375" style="337" customWidth="1"/>
    <col min="9993" max="10240" width="8.7109375" style="337"/>
    <col min="10241" max="10241" width="2.85546875" style="337" customWidth="1"/>
    <col min="10242" max="10242" width="12.7109375" style="337" customWidth="1"/>
    <col min="10243" max="10243" width="14.7109375" style="337" customWidth="1"/>
    <col min="10244" max="10245" width="45.7109375" style="337" customWidth="1"/>
    <col min="10246" max="10246" width="20.7109375" style="337" customWidth="1"/>
    <col min="10247" max="10248" width="14.7109375" style="337" customWidth="1"/>
    <col min="10249" max="10496" width="8.7109375" style="337"/>
    <col min="10497" max="10497" width="2.85546875" style="337" customWidth="1"/>
    <col min="10498" max="10498" width="12.7109375" style="337" customWidth="1"/>
    <col min="10499" max="10499" width="14.7109375" style="337" customWidth="1"/>
    <col min="10500" max="10501" width="45.7109375" style="337" customWidth="1"/>
    <col min="10502" max="10502" width="20.7109375" style="337" customWidth="1"/>
    <col min="10503" max="10504" width="14.7109375" style="337" customWidth="1"/>
    <col min="10505" max="10752" width="8.7109375" style="337"/>
    <col min="10753" max="10753" width="2.85546875" style="337" customWidth="1"/>
    <col min="10754" max="10754" width="12.7109375" style="337" customWidth="1"/>
    <col min="10755" max="10755" width="14.7109375" style="337" customWidth="1"/>
    <col min="10756" max="10757" width="45.7109375" style="337" customWidth="1"/>
    <col min="10758" max="10758" width="20.7109375" style="337" customWidth="1"/>
    <col min="10759" max="10760" width="14.7109375" style="337" customWidth="1"/>
    <col min="10761" max="11008" width="8.7109375" style="337"/>
    <col min="11009" max="11009" width="2.85546875" style="337" customWidth="1"/>
    <col min="11010" max="11010" width="12.7109375" style="337" customWidth="1"/>
    <col min="11011" max="11011" width="14.7109375" style="337" customWidth="1"/>
    <col min="11012" max="11013" width="45.7109375" style="337" customWidth="1"/>
    <col min="11014" max="11014" width="20.7109375" style="337" customWidth="1"/>
    <col min="11015" max="11016" width="14.7109375" style="337" customWidth="1"/>
    <col min="11017" max="11264" width="8.7109375" style="337"/>
    <col min="11265" max="11265" width="2.85546875" style="337" customWidth="1"/>
    <col min="11266" max="11266" width="12.7109375" style="337" customWidth="1"/>
    <col min="11267" max="11267" width="14.7109375" style="337" customWidth="1"/>
    <col min="11268" max="11269" width="45.7109375" style="337" customWidth="1"/>
    <col min="11270" max="11270" width="20.7109375" style="337" customWidth="1"/>
    <col min="11271" max="11272" width="14.7109375" style="337" customWidth="1"/>
    <col min="11273" max="11520" width="8.7109375" style="337"/>
    <col min="11521" max="11521" width="2.85546875" style="337" customWidth="1"/>
    <col min="11522" max="11522" width="12.7109375" style="337" customWidth="1"/>
    <col min="11523" max="11523" width="14.7109375" style="337" customWidth="1"/>
    <col min="11524" max="11525" width="45.7109375" style="337" customWidth="1"/>
    <col min="11526" max="11526" width="20.7109375" style="337" customWidth="1"/>
    <col min="11527" max="11528" width="14.7109375" style="337" customWidth="1"/>
    <col min="11529" max="11776" width="8.7109375" style="337"/>
    <col min="11777" max="11777" width="2.85546875" style="337" customWidth="1"/>
    <col min="11778" max="11778" width="12.7109375" style="337" customWidth="1"/>
    <col min="11779" max="11779" width="14.7109375" style="337" customWidth="1"/>
    <col min="11780" max="11781" width="45.7109375" style="337" customWidth="1"/>
    <col min="11782" max="11782" width="20.7109375" style="337" customWidth="1"/>
    <col min="11783" max="11784" width="14.7109375" style="337" customWidth="1"/>
    <col min="11785" max="12032" width="8.7109375" style="337"/>
    <col min="12033" max="12033" width="2.85546875" style="337" customWidth="1"/>
    <col min="12034" max="12034" width="12.7109375" style="337" customWidth="1"/>
    <col min="12035" max="12035" width="14.7109375" style="337" customWidth="1"/>
    <col min="12036" max="12037" width="45.7109375" style="337" customWidth="1"/>
    <col min="12038" max="12038" width="20.7109375" style="337" customWidth="1"/>
    <col min="12039" max="12040" width="14.7109375" style="337" customWidth="1"/>
    <col min="12041" max="12288" width="8.7109375" style="337"/>
    <col min="12289" max="12289" width="2.85546875" style="337" customWidth="1"/>
    <col min="12290" max="12290" width="12.7109375" style="337" customWidth="1"/>
    <col min="12291" max="12291" width="14.7109375" style="337" customWidth="1"/>
    <col min="12292" max="12293" width="45.7109375" style="337" customWidth="1"/>
    <col min="12294" max="12294" width="20.7109375" style="337" customWidth="1"/>
    <col min="12295" max="12296" width="14.7109375" style="337" customWidth="1"/>
    <col min="12297" max="12544" width="8.7109375" style="337"/>
    <col min="12545" max="12545" width="2.85546875" style="337" customWidth="1"/>
    <col min="12546" max="12546" width="12.7109375" style="337" customWidth="1"/>
    <col min="12547" max="12547" width="14.7109375" style="337" customWidth="1"/>
    <col min="12548" max="12549" width="45.7109375" style="337" customWidth="1"/>
    <col min="12550" max="12550" width="20.7109375" style="337" customWidth="1"/>
    <col min="12551" max="12552" width="14.7109375" style="337" customWidth="1"/>
    <col min="12553" max="12800" width="8.7109375" style="337"/>
    <col min="12801" max="12801" width="2.85546875" style="337" customWidth="1"/>
    <col min="12802" max="12802" width="12.7109375" style="337" customWidth="1"/>
    <col min="12803" max="12803" width="14.7109375" style="337" customWidth="1"/>
    <col min="12804" max="12805" width="45.7109375" style="337" customWidth="1"/>
    <col min="12806" max="12806" width="20.7109375" style="337" customWidth="1"/>
    <col min="12807" max="12808" width="14.7109375" style="337" customWidth="1"/>
    <col min="12809" max="13056" width="8.7109375" style="337"/>
    <col min="13057" max="13057" width="2.85546875" style="337" customWidth="1"/>
    <col min="13058" max="13058" width="12.7109375" style="337" customWidth="1"/>
    <col min="13059" max="13059" width="14.7109375" style="337" customWidth="1"/>
    <col min="13060" max="13061" width="45.7109375" style="337" customWidth="1"/>
    <col min="13062" max="13062" width="20.7109375" style="337" customWidth="1"/>
    <col min="13063" max="13064" width="14.7109375" style="337" customWidth="1"/>
    <col min="13065" max="13312" width="8.7109375" style="337"/>
    <col min="13313" max="13313" width="2.85546875" style="337" customWidth="1"/>
    <col min="13314" max="13314" width="12.7109375" style="337" customWidth="1"/>
    <col min="13315" max="13315" width="14.7109375" style="337" customWidth="1"/>
    <col min="13316" max="13317" width="45.7109375" style="337" customWidth="1"/>
    <col min="13318" max="13318" width="20.7109375" style="337" customWidth="1"/>
    <col min="13319" max="13320" width="14.7109375" style="337" customWidth="1"/>
    <col min="13321" max="13568" width="8.7109375" style="337"/>
    <col min="13569" max="13569" width="2.85546875" style="337" customWidth="1"/>
    <col min="13570" max="13570" width="12.7109375" style="337" customWidth="1"/>
    <col min="13571" max="13571" width="14.7109375" style="337" customWidth="1"/>
    <col min="13572" max="13573" width="45.7109375" style="337" customWidth="1"/>
    <col min="13574" max="13574" width="20.7109375" style="337" customWidth="1"/>
    <col min="13575" max="13576" width="14.7109375" style="337" customWidth="1"/>
    <col min="13577" max="13824" width="8.7109375" style="337"/>
    <col min="13825" max="13825" width="2.85546875" style="337" customWidth="1"/>
    <col min="13826" max="13826" width="12.7109375" style="337" customWidth="1"/>
    <col min="13827" max="13827" width="14.7109375" style="337" customWidth="1"/>
    <col min="13828" max="13829" width="45.7109375" style="337" customWidth="1"/>
    <col min="13830" max="13830" width="20.7109375" style="337" customWidth="1"/>
    <col min="13831" max="13832" width="14.7109375" style="337" customWidth="1"/>
    <col min="13833" max="14080" width="8.7109375" style="337"/>
    <col min="14081" max="14081" width="2.85546875" style="337" customWidth="1"/>
    <col min="14082" max="14082" width="12.7109375" style="337" customWidth="1"/>
    <col min="14083" max="14083" width="14.7109375" style="337" customWidth="1"/>
    <col min="14084" max="14085" width="45.7109375" style="337" customWidth="1"/>
    <col min="14086" max="14086" width="20.7109375" style="337" customWidth="1"/>
    <col min="14087" max="14088" width="14.7109375" style="337" customWidth="1"/>
    <col min="14089" max="14336" width="8.7109375" style="337"/>
    <col min="14337" max="14337" width="2.85546875" style="337" customWidth="1"/>
    <col min="14338" max="14338" width="12.7109375" style="337" customWidth="1"/>
    <col min="14339" max="14339" width="14.7109375" style="337" customWidth="1"/>
    <col min="14340" max="14341" width="45.7109375" style="337" customWidth="1"/>
    <col min="14342" max="14342" width="20.7109375" style="337" customWidth="1"/>
    <col min="14343" max="14344" width="14.7109375" style="337" customWidth="1"/>
    <col min="14345" max="14592" width="8.7109375" style="337"/>
    <col min="14593" max="14593" width="2.85546875" style="337" customWidth="1"/>
    <col min="14594" max="14594" width="12.7109375" style="337" customWidth="1"/>
    <col min="14595" max="14595" width="14.7109375" style="337" customWidth="1"/>
    <col min="14596" max="14597" width="45.7109375" style="337" customWidth="1"/>
    <col min="14598" max="14598" width="20.7109375" style="337" customWidth="1"/>
    <col min="14599" max="14600" width="14.7109375" style="337" customWidth="1"/>
    <col min="14601" max="14848" width="8.7109375" style="337"/>
    <col min="14849" max="14849" width="2.85546875" style="337" customWidth="1"/>
    <col min="14850" max="14850" width="12.7109375" style="337" customWidth="1"/>
    <col min="14851" max="14851" width="14.7109375" style="337" customWidth="1"/>
    <col min="14852" max="14853" width="45.7109375" style="337" customWidth="1"/>
    <col min="14854" max="14854" width="20.7109375" style="337" customWidth="1"/>
    <col min="14855" max="14856" width="14.7109375" style="337" customWidth="1"/>
    <col min="14857" max="15104" width="8.7109375" style="337"/>
    <col min="15105" max="15105" width="2.85546875" style="337" customWidth="1"/>
    <col min="15106" max="15106" width="12.7109375" style="337" customWidth="1"/>
    <col min="15107" max="15107" width="14.7109375" style="337" customWidth="1"/>
    <col min="15108" max="15109" width="45.7109375" style="337" customWidth="1"/>
    <col min="15110" max="15110" width="20.7109375" style="337" customWidth="1"/>
    <col min="15111" max="15112" width="14.7109375" style="337" customWidth="1"/>
    <col min="15113" max="15360" width="8.7109375" style="337"/>
    <col min="15361" max="15361" width="2.85546875" style="337" customWidth="1"/>
    <col min="15362" max="15362" width="12.7109375" style="337" customWidth="1"/>
    <col min="15363" max="15363" width="14.7109375" style="337" customWidth="1"/>
    <col min="15364" max="15365" width="45.7109375" style="337" customWidth="1"/>
    <col min="15366" max="15366" width="20.7109375" style="337" customWidth="1"/>
    <col min="15367" max="15368" width="14.7109375" style="337" customWidth="1"/>
    <col min="15369" max="15616" width="8.7109375" style="337"/>
    <col min="15617" max="15617" width="2.85546875" style="337" customWidth="1"/>
    <col min="15618" max="15618" width="12.7109375" style="337" customWidth="1"/>
    <col min="15619" max="15619" width="14.7109375" style="337" customWidth="1"/>
    <col min="15620" max="15621" width="45.7109375" style="337" customWidth="1"/>
    <col min="15622" max="15622" width="20.7109375" style="337" customWidth="1"/>
    <col min="15623" max="15624" width="14.7109375" style="337" customWidth="1"/>
    <col min="15625" max="15872" width="8.7109375" style="337"/>
    <col min="15873" max="15873" width="2.85546875" style="337" customWidth="1"/>
    <col min="15874" max="15874" width="12.7109375" style="337" customWidth="1"/>
    <col min="15875" max="15875" width="14.7109375" style="337" customWidth="1"/>
    <col min="15876" max="15877" width="45.7109375" style="337" customWidth="1"/>
    <col min="15878" max="15878" width="20.7109375" style="337" customWidth="1"/>
    <col min="15879" max="15880" width="14.7109375" style="337" customWidth="1"/>
    <col min="15881" max="16128" width="8.7109375" style="337"/>
    <col min="16129" max="16129" width="2.85546875" style="337" customWidth="1"/>
    <col min="16130" max="16130" width="12.7109375" style="337" customWidth="1"/>
    <col min="16131" max="16131" width="14.7109375" style="337" customWidth="1"/>
    <col min="16132" max="16133" width="45.7109375" style="337" customWidth="1"/>
    <col min="16134" max="16134" width="20.7109375" style="337" customWidth="1"/>
    <col min="16135" max="16136" width="14.7109375" style="337" customWidth="1"/>
    <col min="16137" max="16384" width="8.7109375" style="337"/>
  </cols>
  <sheetData>
    <row r="1" spans="2:8" ht="23.25" thickBot="1">
      <c r="B1" s="868" t="s">
        <v>256</v>
      </c>
      <c r="C1" s="868"/>
      <c r="D1" s="868"/>
      <c r="E1" s="868"/>
      <c r="F1" s="868"/>
      <c r="G1" s="868"/>
      <c r="H1" s="868"/>
    </row>
    <row r="2" spans="2:8" s="342" customFormat="1" ht="32.25" thickBot="1">
      <c r="B2" s="338" t="s">
        <v>257</v>
      </c>
      <c r="C2" s="339" t="s">
        <v>175</v>
      </c>
      <c r="D2" s="340" t="s">
        <v>258</v>
      </c>
      <c r="E2" s="340" t="s">
        <v>259</v>
      </c>
      <c r="F2" s="339" t="s">
        <v>260</v>
      </c>
      <c r="G2" s="339" t="s">
        <v>261</v>
      </c>
      <c r="H2" s="341" t="s">
        <v>203</v>
      </c>
    </row>
    <row r="3" spans="2:8" ht="15.75">
      <c r="B3" s="343"/>
      <c r="C3" s="344"/>
      <c r="D3" s="345"/>
      <c r="E3" s="345"/>
      <c r="F3" s="346"/>
      <c r="G3" s="347"/>
      <c r="H3" s="348"/>
    </row>
    <row r="4" spans="2:8" ht="15.75">
      <c r="B4" s="349"/>
      <c r="C4" s="350"/>
      <c r="D4" s="351"/>
      <c r="E4" s="351"/>
      <c r="F4" s="352"/>
      <c r="G4" s="353"/>
      <c r="H4" s="354"/>
    </row>
    <row r="5" spans="2:8" ht="15.75">
      <c r="B5" s="355"/>
      <c r="C5" s="356"/>
      <c r="D5" s="357"/>
      <c r="E5" s="358"/>
      <c r="F5" s="358"/>
      <c r="G5" s="359"/>
      <c r="H5" s="360"/>
    </row>
    <row r="6" spans="2:8" ht="15.75">
      <c r="B6" s="355"/>
      <c r="C6" s="356"/>
      <c r="D6" s="357"/>
      <c r="E6" s="358"/>
      <c r="F6" s="358"/>
      <c r="G6" s="359"/>
      <c r="H6" s="360"/>
    </row>
    <row r="7" spans="2:8" ht="15.75">
      <c r="B7" s="355"/>
      <c r="C7" s="356"/>
      <c r="D7" s="358"/>
      <c r="E7" s="358"/>
      <c r="F7" s="358"/>
      <c r="G7" s="359"/>
      <c r="H7" s="361"/>
    </row>
    <row r="8" spans="2:8" ht="15.75">
      <c r="B8" s="362"/>
      <c r="C8" s="363"/>
      <c r="D8" s="364"/>
      <c r="E8" s="365"/>
      <c r="F8" s="365"/>
      <c r="G8" s="366"/>
      <c r="H8" s="367"/>
    </row>
    <row r="9" spans="2:8" ht="15.75">
      <c r="B9" s="362"/>
      <c r="C9" s="363"/>
      <c r="D9" s="364"/>
      <c r="E9" s="365"/>
      <c r="F9" s="365"/>
      <c r="G9" s="366"/>
      <c r="H9" s="367"/>
    </row>
    <row r="10" spans="2:8" ht="15.75">
      <c r="B10" s="362"/>
      <c r="C10" s="363"/>
      <c r="D10" s="364"/>
      <c r="E10" s="365"/>
      <c r="F10" s="365"/>
      <c r="G10" s="366"/>
      <c r="H10" s="367"/>
    </row>
    <row r="11" spans="2:8" ht="15.75">
      <c r="B11" s="362"/>
      <c r="C11" s="363"/>
      <c r="D11" s="364"/>
      <c r="E11" s="365"/>
      <c r="F11" s="365"/>
      <c r="G11" s="366"/>
      <c r="H11" s="367"/>
    </row>
    <row r="12" spans="2:8" ht="15.75">
      <c r="B12" s="362"/>
      <c r="C12" s="363"/>
      <c r="D12" s="364"/>
      <c r="E12" s="365"/>
      <c r="F12" s="365"/>
      <c r="G12" s="366"/>
      <c r="H12" s="367"/>
    </row>
    <row r="13" spans="2:8" ht="15.75">
      <c r="B13" s="362"/>
      <c r="C13" s="363"/>
      <c r="D13" s="364"/>
      <c r="E13" s="365"/>
      <c r="F13" s="365"/>
      <c r="G13" s="366"/>
      <c r="H13" s="367"/>
    </row>
    <row r="14" spans="2:8" ht="15.75">
      <c r="B14" s="362"/>
      <c r="C14" s="363"/>
      <c r="D14" s="364"/>
      <c r="E14" s="365"/>
      <c r="F14" s="365"/>
      <c r="G14" s="366"/>
      <c r="H14" s="367"/>
    </row>
    <row r="15" spans="2:8" ht="15.75">
      <c r="B15" s="362"/>
      <c r="C15" s="363"/>
      <c r="D15" s="364"/>
      <c r="E15" s="365"/>
      <c r="F15" s="365"/>
      <c r="G15" s="366"/>
      <c r="H15" s="367"/>
    </row>
    <row r="16" spans="2:8" ht="15.75">
      <c r="B16" s="362"/>
      <c r="C16" s="363"/>
      <c r="D16" s="364"/>
      <c r="E16" s="365"/>
      <c r="F16" s="365"/>
      <c r="G16" s="366"/>
      <c r="H16" s="367"/>
    </row>
    <row r="17" spans="2:8" ht="15.75">
      <c r="B17" s="362"/>
      <c r="C17" s="363"/>
      <c r="D17" s="364"/>
      <c r="E17" s="365"/>
      <c r="F17" s="365"/>
      <c r="G17" s="366"/>
      <c r="H17" s="367"/>
    </row>
    <row r="18" spans="2:8" ht="15.75">
      <c r="B18" s="362"/>
      <c r="C18" s="363"/>
      <c r="D18" s="364"/>
      <c r="E18" s="365"/>
      <c r="F18" s="365"/>
      <c r="G18" s="366"/>
      <c r="H18" s="367"/>
    </row>
    <row r="19" spans="2:8" ht="15.75">
      <c r="B19" s="362"/>
      <c r="C19" s="363"/>
      <c r="D19" s="364"/>
      <c r="E19" s="365"/>
      <c r="F19" s="365"/>
      <c r="G19" s="366"/>
      <c r="H19" s="367"/>
    </row>
    <row r="20" spans="2:8" ht="15.75">
      <c r="B20" s="362"/>
      <c r="C20" s="366"/>
      <c r="D20" s="364"/>
      <c r="E20" s="365"/>
      <c r="F20" s="365"/>
      <c r="G20" s="366"/>
      <c r="H20" s="367"/>
    </row>
    <row r="21" spans="2:8" ht="15.75">
      <c r="B21" s="362"/>
      <c r="C21" s="366"/>
      <c r="D21" s="364"/>
      <c r="E21" s="365"/>
      <c r="F21" s="365"/>
      <c r="G21" s="366"/>
      <c r="H21" s="367"/>
    </row>
    <row r="22" spans="2:8" ht="15.75">
      <c r="B22" s="362"/>
      <c r="C22" s="366"/>
      <c r="D22" s="364"/>
      <c r="E22" s="365"/>
      <c r="F22" s="365"/>
      <c r="G22" s="366"/>
      <c r="H22" s="367"/>
    </row>
    <row r="23" spans="2:8" ht="15.75">
      <c r="B23" s="362"/>
      <c r="C23" s="366"/>
      <c r="D23" s="364"/>
      <c r="E23" s="365"/>
      <c r="F23" s="365"/>
      <c r="G23" s="366"/>
      <c r="H23" s="367"/>
    </row>
    <row r="24" spans="2:8" ht="15.75">
      <c r="B24" s="362"/>
      <c r="C24" s="366"/>
      <c r="D24" s="364"/>
      <c r="E24" s="365"/>
      <c r="F24" s="365"/>
      <c r="G24" s="366"/>
      <c r="H24" s="367"/>
    </row>
    <row r="25" spans="2:8" ht="16.5" thickBot="1">
      <c r="B25" s="368"/>
      <c r="C25" s="369"/>
      <c r="D25" s="370"/>
      <c r="E25" s="371"/>
      <c r="F25" s="371"/>
      <c r="G25" s="369"/>
      <c r="H25" s="372"/>
    </row>
    <row r="26" spans="2:8" ht="15.75">
      <c r="B26" s="869"/>
      <c r="C26" s="869"/>
      <c r="D26" s="869"/>
      <c r="E26" s="869"/>
      <c r="F26" s="869"/>
      <c r="G26" s="869"/>
      <c r="H26" s="869"/>
    </row>
    <row r="27" spans="2:8" ht="15.75">
      <c r="B27" s="373"/>
      <c r="C27" s="374"/>
      <c r="D27" s="375"/>
      <c r="G27" s="374"/>
    </row>
    <row r="28" spans="2:8" ht="15.75">
      <c r="B28" s="373"/>
      <c r="C28" s="374"/>
      <c r="D28" s="375"/>
      <c r="G28" s="374"/>
    </row>
    <row r="29" spans="2:8" ht="15.75">
      <c r="B29" s="373"/>
      <c r="C29" s="374"/>
      <c r="D29" s="375"/>
      <c r="G29" s="374"/>
    </row>
    <row r="30" spans="2:8" ht="15.75">
      <c r="B30" s="373"/>
      <c r="C30" s="374"/>
      <c r="D30" s="375"/>
      <c r="G30" s="374"/>
    </row>
    <row r="31" spans="2:8" ht="15.75">
      <c r="B31" s="373"/>
      <c r="C31" s="374"/>
      <c r="D31" s="375"/>
      <c r="G31" s="374"/>
    </row>
    <row r="32" spans="2:8" ht="15.75">
      <c r="B32" s="373"/>
      <c r="C32" s="374"/>
      <c r="D32" s="375"/>
      <c r="G32" s="374"/>
    </row>
    <row r="33" spans="2:7" ht="15.75">
      <c r="B33" s="373"/>
      <c r="C33" s="374"/>
      <c r="D33" s="375"/>
      <c r="G33" s="374"/>
    </row>
    <row r="34" spans="2:7" ht="15.75">
      <c r="B34" s="373"/>
      <c r="C34" s="374"/>
      <c r="D34" s="375"/>
      <c r="G34" s="374"/>
    </row>
    <row r="35" spans="2:7" ht="15.75">
      <c r="B35" s="373"/>
      <c r="C35" s="374"/>
      <c r="D35" s="375"/>
      <c r="G35" s="374"/>
    </row>
    <row r="36" spans="2:7" ht="15.75">
      <c r="B36" s="373"/>
      <c r="C36" s="374"/>
      <c r="D36" s="375"/>
      <c r="G36" s="374"/>
    </row>
    <row r="37" spans="2:7" ht="15.75">
      <c r="B37" s="373"/>
      <c r="C37" s="374"/>
      <c r="G37" s="374"/>
    </row>
    <row r="38" spans="2:7" ht="15.75">
      <c r="B38" s="373"/>
      <c r="C38" s="374"/>
    </row>
    <row r="39" spans="2:7" ht="15.75">
      <c r="B39" s="373"/>
    </row>
  </sheetData>
  <sheetProtection selectLockedCells="1" selectUnlockedCells="1"/>
  <mergeCells count="2">
    <mergeCell ref="B1:H1"/>
    <mergeCell ref="B26:H26"/>
  </mergeCells>
  <printOptions horizontalCentered="1"/>
  <pageMargins left="0.25" right="0.25" top="1" bottom="1" header="0.51180555555555551" footer="0.5"/>
  <pageSetup firstPageNumber="0" orientation="portrait" horizontalDpi="300" verticalDpi="300"/>
  <headerFooter alignWithMargins="0">
    <oddFooter>&amp;L&amp;"Lucida Grande,Regular"&amp;F&amp;C&amp;"Lucida Grande,Regular"&amp;A Page &amp;P/&amp;N&amp;R&amp;"Lucida Grande,Regular"Rev. Date: 122806</oddFooter>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157C8-D56B-40AE-AA9C-AE26A454E228}">
  <sheetPr>
    <tabColor rgb="FFFFFF00"/>
    <pageSetUpPr fitToPage="1"/>
  </sheetPr>
  <dimension ref="A1:N12"/>
  <sheetViews>
    <sheetView zoomScale="105" zoomScaleNormal="105" workbookViewId="0">
      <selection activeCell="BC44" sqref="BC44"/>
    </sheetView>
  </sheetViews>
  <sheetFormatPr defaultColWidth="8.7109375" defaultRowHeight="12.75"/>
  <cols>
    <col min="1" max="1" width="22.7109375" style="337" customWidth="1"/>
    <col min="2" max="2" width="19.7109375" style="337" customWidth="1"/>
    <col min="3" max="3" width="13.28515625" style="376" customWidth="1"/>
    <col min="4" max="4" width="12.140625" style="376" customWidth="1"/>
    <col min="5" max="5" width="10.140625" style="376" customWidth="1"/>
    <col min="6" max="14" width="9.140625" style="376" customWidth="1"/>
    <col min="15" max="256" width="8.7109375" style="337"/>
    <col min="257" max="257" width="22.7109375" style="337" customWidth="1"/>
    <col min="258" max="258" width="19.7109375" style="337" customWidth="1"/>
    <col min="259" max="259" width="13.28515625" style="337" customWidth="1"/>
    <col min="260" max="260" width="12.140625" style="337" customWidth="1"/>
    <col min="261" max="261" width="10.140625" style="337" customWidth="1"/>
    <col min="262" max="270" width="9.140625" style="337" customWidth="1"/>
    <col min="271" max="512" width="8.7109375" style="337"/>
    <col min="513" max="513" width="22.7109375" style="337" customWidth="1"/>
    <col min="514" max="514" width="19.7109375" style="337" customWidth="1"/>
    <col min="515" max="515" width="13.28515625" style="337" customWidth="1"/>
    <col min="516" max="516" width="12.140625" style="337" customWidth="1"/>
    <col min="517" max="517" width="10.140625" style="337" customWidth="1"/>
    <col min="518" max="526" width="9.140625" style="337" customWidth="1"/>
    <col min="527" max="768" width="8.7109375" style="337"/>
    <col min="769" max="769" width="22.7109375" style="337" customWidth="1"/>
    <col min="770" max="770" width="19.7109375" style="337" customWidth="1"/>
    <col min="771" max="771" width="13.28515625" style="337" customWidth="1"/>
    <col min="772" max="772" width="12.140625" style="337" customWidth="1"/>
    <col min="773" max="773" width="10.140625" style="337" customWidth="1"/>
    <col min="774" max="782" width="9.140625" style="337" customWidth="1"/>
    <col min="783" max="1024" width="8.7109375" style="337"/>
    <col min="1025" max="1025" width="22.7109375" style="337" customWidth="1"/>
    <col min="1026" max="1026" width="19.7109375" style="337" customWidth="1"/>
    <col min="1027" max="1027" width="13.28515625" style="337" customWidth="1"/>
    <col min="1028" max="1028" width="12.140625" style="337" customWidth="1"/>
    <col min="1029" max="1029" width="10.140625" style="337" customWidth="1"/>
    <col min="1030" max="1038" width="9.140625" style="337" customWidth="1"/>
    <col min="1039" max="1280" width="8.7109375" style="337"/>
    <col min="1281" max="1281" width="22.7109375" style="337" customWidth="1"/>
    <col min="1282" max="1282" width="19.7109375" style="337" customWidth="1"/>
    <col min="1283" max="1283" width="13.28515625" style="337" customWidth="1"/>
    <col min="1284" max="1284" width="12.140625" style="337" customWidth="1"/>
    <col min="1285" max="1285" width="10.140625" style="337" customWidth="1"/>
    <col min="1286" max="1294" width="9.140625" style="337" customWidth="1"/>
    <col min="1295" max="1536" width="8.7109375" style="337"/>
    <col min="1537" max="1537" width="22.7109375" style="337" customWidth="1"/>
    <col min="1538" max="1538" width="19.7109375" style="337" customWidth="1"/>
    <col min="1539" max="1539" width="13.28515625" style="337" customWidth="1"/>
    <col min="1540" max="1540" width="12.140625" style="337" customWidth="1"/>
    <col min="1541" max="1541" width="10.140625" style="337" customWidth="1"/>
    <col min="1542" max="1550" width="9.140625" style="337" customWidth="1"/>
    <col min="1551" max="1792" width="8.7109375" style="337"/>
    <col min="1793" max="1793" width="22.7109375" style="337" customWidth="1"/>
    <col min="1794" max="1794" width="19.7109375" style="337" customWidth="1"/>
    <col min="1795" max="1795" width="13.28515625" style="337" customWidth="1"/>
    <col min="1796" max="1796" width="12.140625" style="337" customWidth="1"/>
    <col min="1797" max="1797" width="10.140625" style="337" customWidth="1"/>
    <col min="1798" max="1806" width="9.140625" style="337" customWidth="1"/>
    <col min="1807" max="2048" width="8.7109375" style="337"/>
    <col min="2049" max="2049" width="22.7109375" style="337" customWidth="1"/>
    <col min="2050" max="2050" width="19.7109375" style="337" customWidth="1"/>
    <col min="2051" max="2051" width="13.28515625" style="337" customWidth="1"/>
    <col min="2052" max="2052" width="12.140625" style="337" customWidth="1"/>
    <col min="2053" max="2053" width="10.140625" style="337" customWidth="1"/>
    <col min="2054" max="2062" width="9.140625" style="337" customWidth="1"/>
    <col min="2063" max="2304" width="8.7109375" style="337"/>
    <col min="2305" max="2305" width="22.7109375" style="337" customWidth="1"/>
    <col min="2306" max="2306" width="19.7109375" style="337" customWidth="1"/>
    <col min="2307" max="2307" width="13.28515625" style="337" customWidth="1"/>
    <col min="2308" max="2308" width="12.140625" style="337" customWidth="1"/>
    <col min="2309" max="2309" width="10.140625" style="337" customWidth="1"/>
    <col min="2310" max="2318" width="9.140625" style="337" customWidth="1"/>
    <col min="2319" max="2560" width="8.7109375" style="337"/>
    <col min="2561" max="2561" width="22.7109375" style="337" customWidth="1"/>
    <col min="2562" max="2562" width="19.7109375" style="337" customWidth="1"/>
    <col min="2563" max="2563" width="13.28515625" style="337" customWidth="1"/>
    <col min="2564" max="2564" width="12.140625" style="337" customWidth="1"/>
    <col min="2565" max="2565" width="10.140625" style="337" customWidth="1"/>
    <col min="2566" max="2574" width="9.140625" style="337" customWidth="1"/>
    <col min="2575" max="2816" width="8.7109375" style="337"/>
    <col min="2817" max="2817" width="22.7109375" style="337" customWidth="1"/>
    <col min="2818" max="2818" width="19.7109375" style="337" customWidth="1"/>
    <col min="2819" max="2819" width="13.28515625" style="337" customWidth="1"/>
    <col min="2820" max="2820" width="12.140625" style="337" customWidth="1"/>
    <col min="2821" max="2821" width="10.140625" style="337" customWidth="1"/>
    <col min="2822" max="2830" width="9.140625" style="337" customWidth="1"/>
    <col min="2831" max="3072" width="8.7109375" style="337"/>
    <col min="3073" max="3073" width="22.7109375" style="337" customWidth="1"/>
    <col min="3074" max="3074" width="19.7109375" style="337" customWidth="1"/>
    <col min="3075" max="3075" width="13.28515625" style="337" customWidth="1"/>
    <col min="3076" max="3076" width="12.140625" style="337" customWidth="1"/>
    <col min="3077" max="3077" width="10.140625" style="337" customWidth="1"/>
    <col min="3078" max="3086" width="9.140625" style="337" customWidth="1"/>
    <col min="3087" max="3328" width="8.7109375" style="337"/>
    <col min="3329" max="3329" width="22.7109375" style="337" customWidth="1"/>
    <col min="3330" max="3330" width="19.7109375" style="337" customWidth="1"/>
    <col min="3331" max="3331" width="13.28515625" style="337" customWidth="1"/>
    <col min="3332" max="3332" width="12.140625" style="337" customWidth="1"/>
    <col min="3333" max="3333" width="10.140625" style="337" customWidth="1"/>
    <col min="3334" max="3342" width="9.140625" style="337" customWidth="1"/>
    <col min="3343" max="3584" width="8.7109375" style="337"/>
    <col min="3585" max="3585" width="22.7109375" style="337" customWidth="1"/>
    <col min="3586" max="3586" width="19.7109375" style="337" customWidth="1"/>
    <col min="3587" max="3587" width="13.28515625" style="337" customWidth="1"/>
    <col min="3588" max="3588" width="12.140625" style="337" customWidth="1"/>
    <col min="3589" max="3589" width="10.140625" style="337" customWidth="1"/>
    <col min="3590" max="3598" width="9.140625" style="337" customWidth="1"/>
    <col min="3599" max="3840" width="8.7109375" style="337"/>
    <col min="3841" max="3841" width="22.7109375" style="337" customWidth="1"/>
    <col min="3842" max="3842" width="19.7109375" style="337" customWidth="1"/>
    <col min="3843" max="3843" width="13.28515625" style="337" customWidth="1"/>
    <col min="3844" max="3844" width="12.140625" style="337" customWidth="1"/>
    <col min="3845" max="3845" width="10.140625" style="337" customWidth="1"/>
    <col min="3846" max="3854" width="9.140625" style="337" customWidth="1"/>
    <col min="3855" max="4096" width="8.7109375" style="337"/>
    <col min="4097" max="4097" width="22.7109375" style="337" customWidth="1"/>
    <col min="4098" max="4098" width="19.7109375" style="337" customWidth="1"/>
    <col min="4099" max="4099" width="13.28515625" style="337" customWidth="1"/>
    <col min="4100" max="4100" width="12.140625" style="337" customWidth="1"/>
    <col min="4101" max="4101" width="10.140625" style="337" customWidth="1"/>
    <col min="4102" max="4110" width="9.140625" style="337" customWidth="1"/>
    <col min="4111" max="4352" width="8.7109375" style="337"/>
    <col min="4353" max="4353" width="22.7109375" style="337" customWidth="1"/>
    <col min="4354" max="4354" width="19.7109375" style="337" customWidth="1"/>
    <col min="4355" max="4355" width="13.28515625" style="337" customWidth="1"/>
    <col min="4356" max="4356" width="12.140625" style="337" customWidth="1"/>
    <col min="4357" max="4357" width="10.140625" style="337" customWidth="1"/>
    <col min="4358" max="4366" width="9.140625" style="337" customWidth="1"/>
    <col min="4367" max="4608" width="8.7109375" style="337"/>
    <col min="4609" max="4609" width="22.7109375" style="337" customWidth="1"/>
    <col min="4610" max="4610" width="19.7109375" style="337" customWidth="1"/>
    <col min="4611" max="4611" width="13.28515625" style="337" customWidth="1"/>
    <col min="4612" max="4612" width="12.140625" style="337" customWidth="1"/>
    <col min="4613" max="4613" width="10.140625" style="337" customWidth="1"/>
    <col min="4614" max="4622" width="9.140625" style="337" customWidth="1"/>
    <col min="4623" max="4864" width="8.7109375" style="337"/>
    <col min="4865" max="4865" width="22.7109375" style="337" customWidth="1"/>
    <col min="4866" max="4866" width="19.7109375" style="337" customWidth="1"/>
    <col min="4867" max="4867" width="13.28515625" style="337" customWidth="1"/>
    <col min="4868" max="4868" width="12.140625" style="337" customWidth="1"/>
    <col min="4869" max="4869" width="10.140625" style="337" customWidth="1"/>
    <col min="4870" max="4878" width="9.140625" style="337" customWidth="1"/>
    <col min="4879" max="5120" width="8.7109375" style="337"/>
    <col min="5121" max="5121" width="22.7109375" style="337" customWidth="1"/>
    <col min="5122" max="5122" width="19.7109375" style="337" customWidth="1"/>
    <col min="5123" max="5123" width="13.28515625" style="337" customWidth="1"/>
    <col min="5124" max="5124" width="12.140625" style="337" customWidth="1"/>
    <col min="5125" max="5125" width="10.140625" style="337" customWidth="1"/>
    <col min="5126" max="5134" width="9.140625" style="337" customWidth="1"/>
    <col min="5135" max="5376" width="8.7109375" style="337"/>
    <col min="5377" max="5377" width="22.7109375" style="337" customWidth="1"/>
    <col min="5378" max="5378" width="19.7109375" style="337" customWidth="1"/>
    <col min="5379" max="5379" width="13.28515625" style="337" customWidth="1"/>
    <col min="5380" max="5380" width="12.140625" style="337" customWidth="1"/>
    <col min="5381" max="5381" width="10.140625" style="337" customWidth="1"/>
    <col min="5382" max="5390" width="9.140625" style="337" customWidth="1"/>
    <col min="5391" max="5632" width="8.7109375" style="337"/>
    <col min="5633" max="5633" width="22.7109375" style="337" customWidth="1"/>
    <col min="5634" max="5634" width="19.7109375" style="337" customWidth="1"/>
    <col min="5635" max="5635" width="13.28515625" style="337" customWidth="1"/>
    <col min="5636" max="5636" width="12.140625" style="337" customWidth="1"/>
    <col min="5637" max="5637" width="10.140625" style="337" customWidth="1"/>
    <col min="5638" max="5646" width="9.140625" style="337" customWidth="1"/>
    <col min="5647" max="5888" width="8.7109375" style="337"/>
    <col min="5889" max="5889" width="22.7109375" style="337" customWidth="1"/>
    <col min="5890" max="5890" width="19.7109375" style="337" customWidth="1"/>
    <col min="5891" max="5891" width="13.28515625" style="337" customWidth="1"/>
    <col min="5892" max="5892" width="12.140625" style="337" customWidth="1"/>
    <col min="5893" max="5893" width="10.140625" style="337" customWidth="1"/>
    <col min="5894" max="5902" width="9.140625" style="337" customWidth="1"/>
    <col min="5903" max="6144" width="8.7109375" style="337"/>
    <col min="6145" max="6145" width="22.7109375" style="337" customWidth="1"/>
    <col min="6146" max="6146" width="19.7109375" style="337" customWidth="1"/>
    <col min="6147" max="6147" width="13.28515625" style="337" customWidth="1"/>
    <col min="6148" max="6148" width="12.140625" style="337" customWidth="1"/>
    <col min="6149" max="6149" width="10.140625" style="337" customWidth="1"/>
    <col min="6150" max="6158" width="9.140625" style="337" customWidth="1"/>
    <col min="6159" max="6400" width="8.7109375" style="337"/>
    <col min="6401" max="6401" width="22.7109375" style="337" customWidth="1"/>
    <col min="6402" max="6402" width="19.7109375" style="337" customWidth="1"/>
    <col min="6403" max="6403" width="13.28515625" style="337" customWidth="1"/>
    <col min="6404" max="6404" width="12.140625" style="337" customWidth="1"/>
    <col min="6405" max="6405" width="10.140625" style="337" customWidth="1"/>
    <col min="6406" max="6414" width="9.140625" style="337" customWidth="1"/>
    <col min="6415" max="6656" width="8.7109375" style="337"/>
    <col min="6657" max="6657" width="22.7109375" style="337" customWidth="1"/>
    <col min="6658" max="6658" width="19.7109375" style="337" customWidth="1"/>
    <col min="6659" max="6659" width="13.28515625" style="337" customWidth="1"/>
    <col min="6660" max="6660" width="12.140625" style="337" customWidth="1"/>
    <col min="6661" max="6661" width="10.140625" style="337" customWidth="1"/>
    <col min="6662" max="6670" width="9.140625" style="337" customWidth="1"/>
    <col min="6671" max="6912" width="8.7109375" style="337"/>
    <col min="6913" max="6913" width="22.7109375" style="337" customWidth="1"/>
    <col min="6914" max="6914" width="19.7109375" style="337" customWidth="1"/>
    <col min="6915" max="6915" width="13.28515625" style="337" customWidth="1"/>
    <col min="6916" max="6916" width="12.140625" style="337" customWidth="1"/>
    <col min="6917" max="6917" width="10.140625" style="337" customWidth="1"/>
    <col min="6918" max="6926" width="9.140625" style="337" customWidth="1"/>
    <col min="6927" max="7168" width="8.7109375" style="337"/>
    <col min="7169" max="7169" width="22.7109375" style="337" customWidth="1"/>
    <col min="7170" max="7170" width="19.7109375" style="337" customWidth="1"/>
    <col min="7171" max="7171" width="13.28515625" style="337" customWidth="1"/>
    <col min="7172" max="7172" width="12.140625" style="337" customWidth="1"/>
    <col min="7173" max="7173" width="10.140625" style="337" customWidth="1"/>
    <col min="7174" max="7182" width="9.140625" style="337" customWidth="1"/>
    <col min="7183" max="7424" width="8.7109375" style="337"/>
    <col min="7425" max="7425" width="22.7109375" style="337" customWidth="1"/>
    <col min="7426" max="7426" width="19.7109375" style="337" customWidth="1"/>
    <col min="7427" max="7427" width="13.28515625" style="337" customWidth="1"/>
    <col min="7428" max="7428" width="12.140625" style="337" customWidth="1"/>
    <col min="7429" max="7429" width="10.140625" style="337" customWidth="1"/>
    <col min="7430" max="7438" width="9.140625" style="337" customWidth="1"/>
    <col min="7439" max="7680" width="8.7109375" style="337"/>
    <col min="7681" max="7681" width="22.7109375" style="337" customWidth="1"/>
    <col min="7682" max="7682" width="19.7109375" style="337" customWidth="1"/>
    <col min="7683" max="7683" width="13.28515625" style="337" customWidth="1"/>
    <col min="7684" max="7684" width="12.140625" style="337" customWidth="1"/>
    <col min="7685" max="7685" width="10.140625" style="337" customWidth="1"/>
    <col min="7686" max="7694" width="9.140625" style="337" customWidth="1"/>
    <col min="7695" max="7936" width="8.7109375" style="337"/>
    <col min="7937" max="7937" width="22.7109375" style="337" customWidth="1"/>
    <col min="7938" max="7938" width="19.7109375" style="337" customWidth="1"/>
    <col min="7939" max="7939" width="13.28515625" style="337" customWidth="1"/>
    <col min="7940" max="7940" width="12.140625" style="337" customWidth="1"/>
    <col min="7941" max="7941" width="10.140625" style="337" customWidth="1"/>
    <col min="7942" max="7950" width="9.140625" style="337" customWidth="1"/>
    <col min="7951" max="8192" width="8.7109375" style="337"/>
    <col min="8193" max="8193" width="22.7109375" style="337" customWidth="1"/>
    <col min="8194" max="8194" width="19.7109375" style="337" customWidth="1"/>
    <col min="8195" max="8195" width="13.28515625" style="337" customWidth="1"/>
    <col min="8196" max="8196" width="12.140625" style="337" customWidth="1"/>
    <col min="8197" max="8197" width="10.140625" style="337" customWidth="1"/>
    <col min="8198" max="8206" width="9.140625" style="337" customWidth="1"/>
    <col min="8207" max="8448" width="8.7109375" style="337"/>
    <col min="8449" max="8449" width="22.7109375" style="337" customWidth="1"/>
    <col min="8450" max="8450" width="19.7109375" style="337" customWidth="1"/>
    <col min="8451" max="8451" width="13.28515625" style="337" customWidth="1"/>
    <col min="8452" max="8452" width="12.140625" style="337" customWidth="1"/>
    <col min="8453" max="8453" width="10.140625" style="337" customWidth="1"/>
    <col min="8454" max="8462" width="9.140625" style="337" customWidth="1"/>
    <col min="8463" max="8704" width="8.7109375" style="337"/>
    <col min="8705" max="8705" width="22.7109375" style="337" customWidth="1"/>
    <col min="8706" max="8706" width="19.7109375" style="337" customWidth="1"/>
    <col min="8707" max="8707" width="13.28515625" style="337" customWidth="1"/>
    <col min="8708" max="8708" width="12.140625" style="337" customWidth="1"/>
    <col min="8709" max="8709" width="10.140625" style="337" customWidth="1"/>
    <col min="8710" max="8718" width="9.140625" style="337" customWidth="1"/>
    <col min="8719" max="8960" width="8.7109375" style="337"/>
    <col min="8961" max="8961" width="22.7109375" style="337" customWidth="1"/>
    <col min="8962" max="8962" width="19.7109375" style="337" customWidth="1"/>
    <col min="8963" max="8963" width="13.28515625" style="337" customWidth="1"/>
    <col min="8964" max="8964" width="12.140625" style="337" customWidth="1"/>
    <col min="8965" max="8965" width="10.140625" style="337" customWidth="1"/>
    <col min="8966" max="8974" width="9.140625" style="337" customWidth="1"/>
    <col min="8975" max="9216" width="8.7109375" style="337"/>
    <col min="9217" max="9217" width="22.7109375" style="337" customWidth="1"/>
    <col min="9218" max="9218" width="19.7109375" style="337" customWidth="1"/>
    <col min="9219" max="9219" width="13.28515625" style="337" customWidth="1"/>
    <col min="9220" max="9220" width="12.140625" style="337" customWidth="1"/>
    <col min="9221" max="9221" width="10.140625" style="337" customWidth="1"/>
    <col min="9222" max="9230" width="9.140625" style="337" customWidth="1"/>
    <col min="9231" max="9472" width="8.7109375" style="337"/>
    <col min="9473" max="9473" width="22.7109375" style="337" customWidth="1"/>
    <col min="9474" max="9474" width="19.7109375" style="337" customWidth="1"/>
    <col min="9475" max="9475" width="13.28515625" style="337" customWidth="1"/>
    <col min="9476" max="9476" width="12.140625" style="337" customWidth="1"/>
    <col min="9477" max="9477" width="10.140625" style="337" customWidth="1"/>
    <col min="9478" max="9486" width="9.140625" style="337" customWidth="1"/>
    <col min="9487" max="9728" width="8.7109375" style="337"/>
    <col min="9729" max="9729" width="22.7109375" style="337" customWidth="1"/>
    <col min="9730" max="9730" width="19.7109375" style="337" customWidth="1"/>
    <col min="9731" max="9731" width="13.28515625" style="337" customWidth="1"/>
    <col min="9732" max="9732" width="12.140625" style="337" customWidth="1"/>
    <col min="9733" max="9733" width="10.140625" style="337" customWidth="1"/>
    <col min="9734" max="9742" width="9.140625" style="337" customWidth="1"/>
    <col min="9743" max="9984" width="8.7109375" style="337"/>
    <col min="9985" max="9985" width="22.7109375" style="337" customWidth="1"/>
    <col min="9986" max="9986" width="19.7109375" style="337" customWidth="1"/>
    <col min="9987" max="9987" width="13.28515625" style="337" customWidth="1"/>
    <col min="9988" max="9988" width="12.140625" style="337" customWidth="1"/>
    <col min="9989" max="9989" width="10.140625" style="337" customWidth="1"/>
    <col min="9990" max="9998" width="9.140625" style="337" customWidth="1"/>
    <col min="9999" max="10240" width="8.7109375" style="337"/>
    <col min="10241" max="10241" width="22.7109375" style="337" customWidth="1"/>
    <col min="10242" max="10242" width="19.7109375" style="337" customWidth="1"/>
    <col min="10243" max="10243" width="13.28515625" style="337" customWidth="1"/>
    <col min="10244" max="10244" width="12.140625" style="337" customWidth="1"/>
    <col min="10245" max="10245" width="10.140625" style="337" customWidth="1"/>
    <col min="10246" max="10254" width="9.140625" style="337" customWidth="1"/>
    <col min="10255" max="10496" width="8.7109375" style="337"/>
    <col min="10497" max="10497" width="22.7109375" style="337" customWidth="1"/>
    <col min="10498" max="10498" width="19.7109375" style="337" customWidth="1"/>
    <col min="10499" max="10499" width="13.28515625" style="337" customWidth="1"/>
    <col min="10500" max="10500" width="12.140625" style="337" customWidth="1"/>
    <col min="10501" max="10501" width="10.140625" style="337" customWidth="1"/>
    <col min="10502" max="10510" width="9.140625" style="337" customWidth="1"/>
    <col min="10511" max="10752" width="8.7109375" style="337"/>
    <col min="10753" max="10753" width="22.7109375" style="337" customWidth="1"/>
    <col min="10754" max="10754" width="19.7109375" style="337" customWidth="1"/>
    <col min="10755" max="10755" width="13.28515625" style="337" customWidth="1"/>
    <col min="10756" max="10756" width="12.140625" style="337" customWidth="1"/>
    <col min="10757" max="10757" width="10.140625" style="337" customWidth="1"/>
    <col min="10758" max="10766" width="9.140625" style="337" customWidth="1"/>
    <col min="10767" max="11008" width="8.7109375" style="337"/>
    <col min="11009" max="11009" width="22.7109375" style="337" customWidth="1"/>
    <col min="11010" max="11010" width="19.7109375" style="337" customWidth="1"/>
    <col min="11011" max="11011" width="13.28515625" style="337" customWidth="1"/>
    <col min="11012" max="11012" width="12.140625" style="337" customWidth="1"/>
    <col min="11013" max="11013" width="10.140625" style="337" customWidth="1"/>
    <col min="11014" max="11022" width="9.140625" style="337" customWidth="1"/>
    <col min="11023" max="11264" width="8.7109375" style="337"/>
    <col min="11265" max="11265" width="22.7109375" style="337" customWidth="1"/>
    <col min="11266" max="11266" width="19.7109375" style="337" customWidth="1"/>
    <col min="11267" max="11267" width="13.28515625" style="337" customWidth="1"/>
    <col min="11268" max="11268" width="12.140625" style="337" customWidth="1"/>
    <col min="11269" max="11269" width="10.140625" style="337" customWidth="1"/>
    <col min="11270" max="11278" width="9.140625" style="337" customWidth="1"/>
    <col min="11279" max="11520" width="8.7109375" style="337"/>
    <col min="11521" max="11521" width="22.7109375" style="337" customWidth="1"/>
    <col min="11522" max="11522" width="19.7109375" style="337" customWidth="1"/>
    <col min="11523" max="11523" width="13.28515625" style="337" customWidth="1"/>
    <col min="11524" max="11524" width="12.140625" style="337" customWidth="1"/>
    <col min="11525" max="11525" width="10.140625" style="337" customWidth="1"/>
    <col min="11526" max="11534" width="9.140625" style="337" customWidth="1"/>
    <col min="11535" max="11776" width="8.7109375" style="337"/>
    <col min="11777" max="11777" width="22.7109375" style="337" customWidth="1"/>
    <col min="11778" max="11778" width="19.7109375" style="337" customWidth="1"/>
    <col min="11779" max="11779" width="13.28515625" style="337" customWidth="1"/>
    <col min="11780" max="11780" width="12.140625" style="337" customWidth="1"/>
    <col min="11781" max="11781" width="10.140625" style="337" customWidth="1"/>
    <col min="11782" max="11790" width="9.140625" style="337" customWidth="1"/>
    <col min="11791" max="12032" width="8.7109375" style="337"/>
    <col min="12033" max="12033" width="22.7109375" style="337" customWidth="1"/>
    <col min="12034" max="12034" width="19.7109375" style="337" customWidth="1"/>
    <col min="12035" max="12035" width="13.28515625" style="337" customWidth="1"/>
    <col min="12036" max="12036" width="12.140625" style="337" customWidth="1"/>
    <col min="12037" max="12037" width="10.140625" style="337" customWidth="1"/>
    <col min="12038" max="12046" width="9.140625" style="337" customWidth="1"/>
    <col min="12047" max="12288" width="8.7109375" style="337"/>
    <col min="12289" max="12289" width="22.7109375" style="337" customWidth="1"/>
    <col min="12290" max="12290" width="19.7109375" style="337" customWidth="1"/>
    <col min="12291" max="12291" width="13.28515625" style="337" customWidth="1"/>
    <col min="12292" max="12292" width="12.140625" style="337" customWidth="1"/>
    <col min="12293" max="12293" width="10.140625" style="337" customWidth="1"/>
    <col min="12294" max="12302" width="9.140625" style="337" customWidth="1"/>
    <col min="12303" max="12544" width="8.7109375" style="337"/>
    <col min="12545" max="12545" width="22.7109375" style="337" customWidth="1"/>
    <col min="12546" max="12546" width="19.7109375" style="337" customWidth="1"/>
    <col min="12547" max="12547" width="13.28515625" style="337" customWidth="1"/>
    <col min="12548" max="12548" width="12.140625" style="337" customWidth="1"/>
    <col min="12549" max="12549" width="10.140625" style="337" customWidth="1"/>
    <col min="12550" max="12558" width="9.140625" style="337" customWidth="1"/>
    <col min="12559" max="12800" width="8.7109375" style="337"/>
    <col min="12801" max="12801" width="22.7109375" style="337" customWidth="1"/>
    <col min="12802" max="12802" width="19.7109375" style="337" customWidth="1"/>
    <col min="12803" max="12803" width="13.28515625" style="337" customWidth="1"/>
    <col min="12804" max="12804" width="12.140625" style="337" customWidth="1"/>
    <col min="12805" max="12805" width="10.140625" style="337" customWidth="1"/>
    <col min="12806" max="12814" width="9.140625" style="337" customWidth="1"/>
    <col min="12815" max="13056" width="8.7109375" style="337"/>
    <col min="13057" max="13057" width="22.7109375" style="337" customWidth="1"/>
    <col min="13058" max="13058" width="19.7109375" style="337" customWidth="1"/>
    <col min="13059" max="13059" width="13.28515625" style="337" customWidth="1"/>
    <col min="13060" max="13060" width="12.140625" style="337" customWidth="1"/>
    <col min="13061" max="13061" width="10.140625" style="337" customWidth="1"/>
    <col min="13062" max="13070" width="9.140625" style="337" customWidth="1"/>
    <col min="13071" max="13312" width="8.7109375" style="337"/>
    <col min="13313" max="13313" width="22.7109375" style="337" customWidth="1"/>
    <col min="13314" max="13314" width="19.7109375" style="337" customWidth="1"/>
    <col min="13315" max="13315" width="13.28515625" style="337" customWidth="1"/>
    <col min="13316" max="13316" width="12.140625" style="337" customWidth="1"/>
    <col min="13317" max="13317" width="10.140625" style="337" customWidth="1"/>
    <col min="13318" max="13326" width="9.140625" style="337" customWidth="1"/>
    <col min="13327" max="13568" width="8.7109375" style="337"/>
    <col min="13569" max="13569" width="22.7109375" style="337" customWidth="1"/>
    <col min="13570" max="13570" width="19.7109375" style="337" customWidth="1"/>
    <col min="13571" max="13571" width="13.28515625" style="337" customWidth="1"/>
    <col min="13572" max="13572" width="12.140625" style="337" customWidth="1"/>
    <col min="13573" max="13573" width="10.140625" style="337" customWidth="1"/>
    <col min="13574" max="13582" width="9.140625" style="337" customWidth="1"/>
    <col min="13583" max="13824" width="8.7109375" style="337"/>
    <col min="13825" max="13825" width="22.7109375" style="337" customWidth="1"/>
    <col min="13826" max="13826" width="19.7109375" style="337" customWidth="1"/>
    <col min="13827" max="13827" width="13.28515625" style="337" customWidth="1"/>
    <col min="13828" max="13828" width="12.140625" style="337" customWidth="1"/>
    <col min="13829" max="13829" width="10.140625" style="337" customWidth="1"/>
    <col min="13830" max="13838" width="9.140625" style="337" customWidth="1"/>
    <col min="13839" max="14080" width="8.7109375" style="337"/>
    <col min="14081" max="14081" width="22.7109375" style="337" customWidth="1"/>
    <col min="14082" max="14082" width="19.7109375" style="337" customWidth="1"/>
    <col min="14083" max="14083" width="13.28515625" style="337" customWidth="1"/>
    <col min="14084" max="14084" width="12.140625" style="337" customWidth="1"/>
    <col min="14085" max="14085" width="10.140625" style="337" customWidth="1"/>
    <col min="14086" max="14094" width="9.140625" style="337" customWidth="1"/>
    <col min="14095" max="14336" width="8.7109375" style="337"/>
    <col min="14337" max="14337" width="22.7109375" style="337" customWidth="1"/>
    <col min="14338" max="14338" width="19.7109375" style="337" customWidth="1"/>
    <col min="14339" max="14339" width="13.28515625" style="337" customWidth="1"/>
    <col min="14340" max="14340" width="12.140625" style="337" customWidth="1"/>
    <col min="14341" max="14341" width="10.140625" style="337" customWidth="1"/>
    <col min="14342" max="14350" width="9.140625" style="337" customWidth="1"/>
    <col min="14351" max="14592" width="8.7109375" style="337"/>
    <col min="14593" max="14593" width="22.7109375" style="337" customWidth="1"/>
    <col min="14594" max="14594" width="19.7109375" style="337" customWidth="1"/>
    <col min="14595" max="14595" width="13.28515625" style="337" customWidth="1"/>
    <col min="14596" max="14596" width="12.140625" style="337" customWidth="1"/>
    <col min="14597" max="14597" width="10.140625" style="337" customWidth="1"/>
    <col min="14598" max="14606" width="9.140625" style="337" customWidth="1"/>
    <col min="14607" max="14848" width="8.7109375" style="337"/>
    <col min="14849" max="14849" width="22.7109375" style="337" customWidth="1"/>
    <col min="14850" max="14850" width="19.7109375" style="337" customWidth="1"/>
    <col min="14851" max="14851" width="13.28515625" style="337" customWidth="1"/>
    <col min="14852" max="14852" width="12.140625" style="337" customWidth="1"/>
    <col min="14853" max="14853" width="10.140625" style="337" customWidth="1"/>
    <col min="14854" max="14862" width="9.140625" style="337" customWidth="1"/>
    <col min="14863" max="15104" width="8.7109375" style="337"/>
    <col min="15105" max="15105" width="22.7109375" style="337" customWidth="1"/>
    <col min="15106" max="15106" width="19.7109375" style="337" customWidth="1"/>
    <col min="15107" max="15107" width="13.28515625" style="337" customWidth="1"/>
    <col min="15108" max="15108" width="12.140625" style="337" customWidth="1"/>
    <col min="15109" max="15109" width="10.140625" style="337" customWidth="1"/>
    <col min="15110" max="15118" width="9.140625" style="337" customWidth="1"/>
    <col min="15119" max="15360" width="8.7109375" style="337"/>
    <col min="15361" max="15361" width="22.7109375" style="337" customWidth="1"/>
    <col min="15362" max="15362" width="19.7109375" style="337" customWidth="1"/>
    <col min="15363" max="15363" width="13.28515625" style="337" customWidth="1"/>
    <col min="15364" max="15364" width="12.140625" style="337" customWidth="1"/>
    <col min="15365" max="15365" width="10.140625" style="337" customWidth="1"/>
    <col min="15366" max="15374" width="9.140625" style="337" customWidth="1"/>
    <col min="15375" max="15616" width="8.7109375" style="337"/>
    <col min="15617" max="15617" width="22.7109375" style="337" customWidth="1"/>
    <col min="15618" max="15618" width="19.7109375" style="337" customWidth="1"/>
    <col min="15619" max="15619" width="13.28515625" style="337" customWidth="1"/>
    <col min="15620" max="15620" width="12.140625" style="337" customWidth="1"/>
    <col min="15621" max="15621" width="10.140625" style="337" customWidth="1"/>
    <col min="15622" max="15630" width="9.140625" style="337" customWidth="1"/>
    <col min="15631" max="15872" width="8.7109375" style="337"/>
    <col min="15873" max="15873" width="22.7109375" style="337" customWidth="1"/>
    <col min="15874" max="15874" width="19.7109375" style="337" customWidth="1"/>
    <col min="15875" max="15875" width="13.28515625" style="337" customWidth="1"/>
    <col min="15876" max="15876" width="12.140625" style="337" customWidth="1"/>
    <col min="15877" max="15877" width="10.140625" style="337" customWidth="1"/>
    <col min="15878" max="15886" width="9.140625" style="337" customWidth="1"/>
    <col min="15887" max="16128" width="8.7109375" style="337"/>
    <col min="16129" max="16129" width="22.7109375" style="337" customWidth="1"/>
    <col min="16130" max="16130" width="19.7109375" style="337" customWidth="1"/>
    <col min="16131" max="16131" width="13.28515625" style="337" customWidth="1"/>
    <col min="16132" max="16132" width="12.140625" style="337" customWidth="1"/>
    <col min="16133" max="16133" width="10.140625" style="337" customWidth="1"/>
    <col min="16134" max="16142" width="9.140625" style="337" customWidth="1"/>
    <col min="16143" max="16384" width="8.7109375" style="337"/>
  </cols>
  <sheetData>
    <row r="1" spans="1:14" ht="22.5">
      <c r="A1" s="868" t="s">
        <v>262</v>
      </c>
      <c r="B1" s="868"/>
      <c r="C1" s="868"/>
      <c r="D1" s="868"/>
      <c r="E1" s="868"/>
      <c r="F1" s="868"/>
      <c r="G1" s="868"/>
      <c r="H1" s="868"/>
      <c r="I1" s="868"/>
      <c r="J1" s="868"/>
      <c r="K1" s="868"/>
      <c r="L1" s="868"/>
    </row>
    <row r="2" spans="1:14" s="377" customFormat="1" ht="16.5" customHeight="1" thickBot="1">
      <c r="C2" s="378"/>
      <c r="D2" s="870" t="s">
        <v>263</v>
      </c>
      <c r="E2" s="870"/>
      <c r="F2" s="870"/>
      <c r="G2" s="870"/>
      <c r="H2" s="870"/>
      <c r="I2" s="870"/>
      <c r="J2" s="870"/>
      <c r="K2" s="870"/>
      <c r="L2" s="870"/>
      <c r="M2" s="379"/>
      <c r="N2" s="378"/>
    </row>
    <row r="3" spans="1:14" s="379" customFormat="1" ht="16.5" thickBot="1">
      <c r="A3" s="379" t="s">
        <v>264</v>
      </c>
      <c r="B3" s="379" t="s">
        <v>265</v>
      </c>
      <c r="C3" s="379" t="s">
        <v>266</v>
      </c>
      <c r="D3" s="380">
        <v>1</v>
      </c>
      <c r="E3" s="381">
        <v>2</v>
      </c>
      <c r="F3" s="381">
        <v>3</v>
      </c>
      <c r="G3" s="381">
        <v>4</v>
      </c>
      <c r="H3" s="381">
        <v>5</v>
      </c>
      <c r="I3" s="381">
        <v>6</v>
      </c>
      <c r="J3" s="381">
        <v>7</v>
      </c>
      <c r="K3" s="381">
        <v>8</v>
      </c>
      <c r="L3" s="382">
        <v>9</v>
      </c>
    </row>
    <row r="4" spans="1:14">
      <c r="A4" s="365"/>
      <c r="B4" s="365"/>
      <c r="C4" s="383"/>
      <c r="D4" s="384"/>
      <c r="E4" s="384"/>
      <c r="F4" s="384"/>
      <c r="G4" s="385"/>
      <c r="H4" s="385"/>
      <c r="I4" s="385"/>
      <c r="J4" s="385"/>
      <c r="K4" s="385"/>
      <c r="L4" s="385"/>
    </row>
    <row r="5" spans="1:14">
      <c r="A5" s="365"/>
      <c r="B5" s="365"/>
      <c r="C5" s="383"/>
      <c r="D5" s="384"/>
      <c r="E5" s="384"/>
      <c r="F5" s="384"/>
      <c r="G5" s="386"/>
      <c r="H5" s="386"/>
      <c r="I5" s="386"/>
      <c r="J5" s="386"/>
      <c r="K5" s="386"/>
      <c r="L5" s="386"/>
    </row>
    <row r="6" spans="1:14">
      <c r="A6" s="365"/>
      <c r="B6" s="365"/>
      <c r="C6" s="383"/>
      <c r="D6" s="384"/>
      <c r="E6" s="384"/>
      <c r="F6" s="384"/>
      <c r="G6" s="386"/>
      <c r="H6" s="386"/>
      <c r="I6" s="386"/>
      <c r="J6" s="386"/>
      <c r="K6" s="386"/>
      <c r="L6" s="386"/>
    </row>
    <row r="7" spans="1:14">
      <c r="A7" s="365"/>
      <c r="B7" s="365"/>
      <c r="C7" s="383"/>
      <c r="D7" s="384"/>
      <c r="E7" s="384"/>
      <c r="F7" s="384"/>
      <c r="G7" s="386"/>
      <c r="H7" s="386"/>
      <c r="I7" s="386"/>
      <c r="J7" s="386"/>
      <c r="K7" s="386"/>
      <c r="L7" s="386"/>
    </row>
    <row r="8" spans="1:14">
      <c r="A8" s="365"/>
      <c r="B8" s="365"/>
      <c r="C8" s="386"/>
      <c r="D8" s="384"/>
      <c r="E8" s="386"/>
      <c r="F8" s="384"/>
      <c r="G8" s="386"/>
      <c r="H8" s="386"/>
      <c r="I8" s="386"/>
      <c r="J8" s="386"/>
      <c r="K8" s="386"/>
      <c r="L8" s="386"/>
    </row>
    <row r="9" spans="1:14">
      <c r="A9" s="365"/>
      <c r="B9" s="365"/>
      <c r="C9" s="386"/>
      <c r="D9" s="386"/>
      <c r="E9" s="386"/>
      <c r="F9" s="386"/>
      <c r="G9" s="386"/>
      <c r="H9" s="386"/>
      <c r="I9" s="386"/>
      <c r="J9" s="386"/>
      <c r="K9" s="386"/>
      <c r="L9" s="386"/>
    </row>
    <row r="10" spans="1:14">
      <c r="A10" s="365"/>
      <c r="B10" s="365"/>
      <c r="C10" s="386"/>
      <c r="D10" s="386"/>
      <c r="E10" s="386"/>
      <c r="F10" s="386"/>
      <c r="G10" s="386"/>
      <c r="H10" s="386"/>
      <c r="I10" s="386"/>
      <c r="J10" s="386"/>
      <c r="K10" s="386"/>
      <c r="L10" s="386"/>
    </row>
    <row r="11" spans="1:14">
      <c r="A11" s="365"/>
      <c r="B11" s="365"/>
      <c r="C11" s="386"/>
      <c r="D11" s="386"/>
      <c r="E11" s="386"/>
      <c r="F11" s="386"/>
      <c r="G11" s="386"/>
      <c r="H11" s="386"/>
      <c r="I11" s="386"/>
      <c r="J11" s="386"/>
      <c r="K11" s="386"/>
      <c r="L11" s="386"/>
    </row>
    <row r="12" spans="1:14">
      <c r="A12" s="871"/>
      <c r="B12" s="871"/>
      <c r="C12" s="871"/>
      <c r="D12" s="871"/>
      <c r="E12" s="871"/>
      <c r="F12" s="871"/>
      <c r="G12" s="871"/>
      <c r="H12" s="871"/>
      <c r="I12" s="871"/>
      <c r="J12" s="871"/>
      <c r="K12" s="871"/>
      <c r="L12" s="871"/>
    </row>
  </sheetData>
  <sheetProtection selectLockedCells="1" selectUnlockedCells="1"/>
  <mergeCells count="3">
    <mergeCell ref="A1:L1"/>
    <mergeCell ref="D2:L2"/>
    <mergeCell ref="A12:L12"/>
  </mergeCells>
  <printOptions horizontalCentered="1" verticalCentered="1"/>
  <pageMargins left="0.75" right="0.75" top="1" bottom="1" header="0.51180555555555551" footer="0.5"/>
  <pageSetup firstPageNumber="0" orientation="landscape" horizontalDpi="300" verticalDpi="300"/>
  <headerFooter alignWithMargins="0">
    <oddFooter>&amp;L&amp;"Lucida Grande,Regular"&amp;F&amp;C&amp;"Lucida Grande,Regular"&amp;A Page &amp;P/&amp;N&amp;R&amp;"Lucida Grande,Regular"Rev. Date: 122806</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FEC70-CA35-4A86-AF46-56E67AEE1E53}">
  <sheetPr>
    <tabColor rgb="FFFFFF00"/>
    <pageSetUpPr fitToPage="1"/>
  </sheetPr>
  <dimension ref="B1:W8"/>
  <sheetViews>
    <sheetView zoomScale="105" zoomScaleNormal="105" workbookViewId="0">
      <selection activeCell="AD30" sqref="AD30"/>
    </sheetView>
  </sheetViews>
  <sheetFormatPr defaultColWidth="11.42578125" defaultRowHeight="12.75"/>
  <cols>
    <col min="1" max="1" width="5.7109375" style="337" customWidth="1"/>
    <col min="2" max="2" width="2.7109375" style="337" customWidth="1"/>
    <col min="3" max="4" width="3.7109375" style="337" customWidth="1"/>
    <col min="5" max="5" width="2.7109375" style="337" customWidth="1"/>
    <col min="6" max="6" width="3.7109375" style="337" customWidth="1"/>
    <col min="7" max="7" width="2.7109375" style="337" customWidth="1"/>
    <col min="8" max="22" width="5.7109375" style="337" customWidth="1"/>
    <col min="23" max="23" width="7.85546875" style="337" customWidth="1"/>
    <col min="24" max="256" width="11.42578125" style="337"/>
    <col min="257" max="257" width="5.7109375" style="337" customWidth="1"/>
    <col min="258" max="258" width="2.7109375" style="337" customWidth="1"/>
    <col min="259" max="260" width="3.7109375" style="337" customWidth="1"/>
    <col min="261" max="261" width="2.7109375" style="337" customWidth="1"/>
    <col min="262" max="262" width="3.7109375" style="337" customWidth="1"/>
    <col min="263" max="263" width="2.7109375" style="337" customWidth="1"/>
    <col min="264" max="278" width="5.7109375" style="337" customWidth="1"/>
    <col min="279" max="279" width="7.85546875" style="337" customWidth="1"/>
    <col min="280" max="512" width="11.42578125" style="337"/>
    <col min="513" max="513" width="5.7109375" style="337" customWidth="1"/>
    <col min="514" max="514" width="2.7109375" style="337" customWidth="1"/>
    <col min="515" max="516" width="3.7109375" style="337" customWidth="1"/>
    <col min="517" max="517" width="2.7109375" style="337" customWidth="1"/>
    <col min="518" max="518" width="3.7109375" style="337" customWidth="1"/>
    <col min="519" max="519" width="2.7109375" style="337" customWidth="1"/>
    <col min="520" max="534" width="5.7109375" style="337" customWidth="1"/>
    <col min="535" max="535" width="7.85546875" style="337" customWidth="1"/>
    <col min="536" max="768" width="11.42578125" style="337"/>
    <col min="769" max="769" width="5.7109375" style="337" customWidth="1"/>
    <col min="770" max="770" width="2.7109375" style="337" customWidth="1"/>
    <col min="771" max="772" width="3.7109375" style="337" customWidth="1"/>
    <col min="773" max="773" width="2.7109375" style="337" customWidth="1"/>
    <col min="774" max="774" width="3.7109375" style="337" customWidth="1"/>
    <col min="775" max="775" width="2.7109375" style="337" customWidth="1"/>
    <col min="776" max="790" width="5.7109375" style="337" customWidth="1"/>
    <col min="791" max="791" width="7.85546875" style="337" customWidth="1"/>
    <col min="792" max="1024" width="11.42578125" style="337"/>
    <col min="1025" max="1025" width="5.7109375" style="337" customWidth="1"/>
    <col min="1026" max="1026" width="2.7109375" style="337" customWidth="1"/>
    <col min="1027" max="1028" width="3.7109375" style="337" customWidth="1"/>
    <col min="1029" max="1029" width="2.7109375" style="337" customWidth="1"/>
    <col min="1030" max="1030" width="3.7109375" style="337" customWidth="1"/>
    <col min="1031" max="1031" width="2.7109375" style="337" customWidth="1"/>
    <col min="1032" max="1046" width="5.7109375" style="337" customWidth="1"/>
    <col min="1047" max="1047" width="7.85546875" style="337" customWidth="1"/>
    <col min="1048" max="1280" width="11.42578125" style="337"/>
    <col min="1281" max="1281" width="5.7109375" style="337" customWidth="1"/>
    <col min="1282" max="1282" width="2.7109375" style="337" customWidth="1"/>
    <col min="1283" max="1284" width="3.7109375" style="337" customWidth="1"/>
    <col min="1285" max="1285" width="2.7109375" style="337" customWidth="1"/>
    <col min="1286" max="1286" width="3.7109375" style="337" customWidth="1"/>
    <col min="1287" max="1287" width="2.7109375" style="337" customWidth="1"/>
    <col min="1288" max="1302" width="5.7109375" style="337" customWidth="1"/>
    <col min="1303" max="1303" width="7.85546875" style="337" customWidth="1"/>
    <col min="1304" max="1536" width="11.42578125" style="337"/>
    <col min="1537" max="1537" width="5.7109375" style="337" customWidth="1"/>
    <col min="1538" max="1538" width="2.7109375" style="337" customWidth="1"/>
    <col min="1539" max="1540" width="3.7109375" style="337" customWidth="1"/>
    <col min="1541" max="1541" width="2.7109375" style="337" customWidth="1"/>
    <col min="1542" max="1542" width="3.7109375" style="337" customWidth="1"/>
    <col min="1543" max="1543" width="2.7109375" style="337" customWidth="1"/>
    <col min="1544" max="1558" width="5.7109375" style="337" customWidth="1"/>
    <col min="1559" max="1559" width="7.85546875" style="337" customWidth="1"/>
    <col min="1560" max="1792" width="11.42578125" style="337"/>
    <col min="1793" max="1793" width="5.7109375" style="337" customWidth="1"/>
    <col min="1794" max="1794" width="2.7109375" style="337" customWidth="1"/>
    <col min="1795" max="1796" width="3.7109375" style="337" customWidth="1"/>
    <col min="1797" max="1797" width="2.7109375" style="337" customWidth="1"/>
    <col min="1798" max="1798" width="3.7109375" style="337" customWidth="1"/>
    <col min="1799" max="1799" width="2.7109375" style="337" customWidth="1"/>
    <col min="1800" max="1814" width="5.7109375" style="337" customWidth="1"/>
    <col min="1815" max="1815" width="7.85546875" style="337" customWidth="1"/>
    <col min="1816" max="2048" width="11.42578125" style="337"/>
    <col min="2049" max="2049" width="5.7109375" style="337" customWidth="1"/>
    <col min="2050" max="2050" width="2.7109375" style="337" customWidth="1"/>
    <col min="2051" max="2052" width="3.7109375" style="337" customWidth="1"/>
    <col min="2053" max="2053" width="2.7109375" style="337" customWidth="1"/>
    <col min="2054" max="2054" width="3.7109375" style="337" customWidth="1"/>
    <col min="2055" max="2055" width="2.7109375" style="337" customWidth="1"/>
    <col min="2056" max="2070" width="5.7109375" style="337" customWidth="1"/>
    <col min="2071" max="2071" width="7.85546875" style="337" customWidth="1"/>
    <col min="2072" max="2304" width="11.42578125" style="337"/>
    <col min="2305" max="2305" width="5.7109375" style="337" customWidth="1"/>
    <col min="2306" max="2306" width="2.7109375" style="337" customWidth="1"/>
    <col min="2307" max="2308" width="3.7109375" style="337" customWidth="1"/>
    <col min="2309" max="2309" width="2.7109375" style="337" customWidth="1"/>
    <col min="2310" max="2310" width="3.7109375" style="337" customWidth="1"/>
    <col min="2311" max="2311" width="2.7109375" style="337" customWidth="1"/>
    <col min="2312" max="2326" width="5.7109375" style="337" customWidth="1"/>
    <col min="2327" max="2327" width="7.85546875" style="337" customWidth="1"/>
    <col min="2328" max="2560" width="11.42578125" style="337"/>
    <col min="2561" max="2561" width="5.7109375" style="337" customWidth="1"/>
    <col min="2562" max="2562" width="2.7109375" style="337" customWidth="1"/>
    <col min="2563" max="2564" width="3.7109375" style="337" customWidth="1"/>
    <col min="2565" max="2565" width="2.7109375" style="337" customWidth="1"/>
    <col min="2566" max="2566" width="3.7109375" style="337" customWidth="1"/>
    <col min="2567" max="2567" width="2.7109375" style="337" customWidth="1"/>
    <col min="2568" max="2582" width="5.7109375" style="337" customWidth="1"/>
    <col min="2583" max="2583" width="7.85546875" style="337" customWidth="1"/>
    <col min="2584" max="2816" width="11.42578125" style="337"/>
    <col min="2817" max="2817" width="5.7109375" style="337" customWidth="1"/>
    <col min="2818" max="2818" width="2.7109375" style="337" customWidth="1"/>
    <col min="2819" max="2820" width="3.7109375" style="337" customWidth="1"/>
    <col min="2821" max="2821" width="2.7109375" style="337" customWidth="1"/>
    <col min="2822" max="2822" width="3.7109375" style="337" customWidth="1"/>
    <col min="2823" max="2823" width="2.7109375" style="337" customWidth="1"/>
    <col min="2824" max="2838" width="5.7109375" style="337" customWidth="1"/>
    <col min="2839" max="2839" width="7.85546875" style="337" customWidth="1"/>
    <col min="2840" max="3072" width="11.42578125" style="337"/>
    <col min="3073" max="3073" width="5.7109375" style="337" customWidth="1"/>
    <col min="3074" max="3074" width="2.7109375" style="337" customWidth="1"/>
    <col min="3075" max="3076" width="3.7109375" style="337" customWidth="1"/>
    <col min="3077" max="3077" width="2.7109375" style="337" customWidth="1"/>
    <col min="3078" max="3078" width="3.7109375" style="337" customWidth="1"/>
    <col min="3079" max="3079" width="2.7109375" style="337" customWidth="1"/>
    <col min="3080" max="3094" width="5.7109375" style="337" customWidth="1"/>
    <col min="3095" max="3095" width="7.85546875" style="337" customWidth="1"/>
    <col min="3096" max="3328" width="11.42578125" style="337"/>
    <col min="3329" max="3329" width="5.7109375" style="337" customWidth="1"/>
    <col min="3330" max="3330" width="2.7109375" style="337" customWidth="1"/>
    <col min="3331" max="3332" width="3.7109375" style="337" customWidth="1"/>
    <col min="3333" max="3333" width="2.7109375" style="337" customWidth="1"/>
    <col min="3334" max="3334" width="3.7109375" style="337" customWidth="1"/>
    <col min="3335" max="3335" width="2.7109375" style="337" customWidth="1"/>
    <col min="3336" max="3350" width="5.7109375" style="337" customWidth="1"/>
    <col min="3351" max="3351" width="7.85546875" style="337" customWidth="1"/>
    <col min="3352" max="3584" width="11.42578125" style="337"/>
    <col min="3585" max="3585" width="5.7109375" style="337" customWidth="1"/>
    <col min="3586" max="3586" width="2.7109375" style="337" customWidth="1"/>
    <col min="3587" max="3588" width="3.7109375" style="337" customWidth="1"/>
    <col min="3589" max="3589" width="2.7109375" style="337" customWidth="1"/>
    <col min="3590" max="3590" width="3.7109375" style="337" customWidth="1"/>
    <col min="3591" max="3591" width="2.7109375" style="337" customWidth="1"/>
    <col min="3592" max="3606" width="5.7109375" style="337" customWidth="1"/>
    <col min="3607" max="3607" width="7.85546875" style="337" customWidth="1"/>
    <col min="3608" max="3840" width="11.42578125" style="337"/>
    <col min="3841" max="3841" width="5.7109375" style="337" customWidth="1"/>
    <col min="3842" max="3842" width="2.7109375" style="337" customWidth="1"/>
    <col min="3843" max="3844" width="3.7109375" style="337" customWidth="1"/>
    <col min="3845" max="3845" width="2.7109375" style="337" customWidth="1"/>
    <col min="3846" max="3846" width="3.7109375" style="337" customWidth="1"/>
    <col min="3847" max="3847" width="2.7109375" style="337" customWidth="1"/>
    <col min="3848" max="3862" width="5.7109375" style="337" customWidth="1"/>
    <col min="3863" max="3863" width="7.85546875" style="337" customWidth="1"/>
    <col min="3864" max="4096" width="11.42578125" style="337"/>
    <col min="4097" max="4097" width="5.7109375" style="337" customWidth="1"/>
    <col min="4098" max="4098" width="2.7109375" style="337" customWidth="1"/>
    <col min="4099" max="4100" width="3.7109375" style="337" customWidth="1"/>
    <col min="4101" max="4101" width="2.7109375" style="337" customWidth="1"/>
    <col min="4102" max="4102" width="3.7109375" style="337" customWidth="1"/>
    <col min="4103" max="4103" width="2.7109375" style="337" customWidth="1"/>
    <col min="4104" max="4118" width="5.7109375" style="337" customWidth="1"/>
    <col min="4119" max="4119" width="7.85546875" style="337" customWidth="1"/>
    <col min="4120" max="4352" width="11.42578125" style="337"/>
    <col min="4353" max="4353" width="5.7109375" style="337" customWidth="1"/>
    <col min="4354" max="4354" width="2.7109375" style="337" customWidth="1"/>
    <col min="4355" max="4356" width="3.7109375" style="337" customWidth="1"/>
    <col min="4357" max="4357" width="2.7109375" style="337" customWidth="1"/>
    <col min="4358" max="4358" width="3.7109375" style="337" customWidth="1"/>
    <col min="4359" max="4359" width="2.7109375" style="337" customWidth="1"/>
    <col min="4360" max="4374" width="5.7109375" style="337" customWidth="1"/>
    <col min="4375" max="4375" width="7.85546875" style="337" customWidth="1"/>
    <col min="4376" max="4608" width="11.42578125" style="337"/>
    <col min="4609" max="4609" width="5.7109375" style="337" customWidth="1"/>
    <col min="4610" max="4610" width="2.7109375" style="337" customWidth="1"/>
    <col min="4611" max="4612" width="3.7109375" style="337" customWidth="1"/>
    <col min="4613" max="4613" width="2.7109375" style="337" customWidth="1"/>
    <col min="4614" max="4614" width="3.7109375" style="337" customWidth="1"/>
    <col min="4615" max="4615" width="2.7109375" style="337" customWidth="1"/>
    <col min="4616" max="4630" width="5.7109375" style="337" customWidth="1"/>
    <col min="4631" max="4631" width="7.85546875" style="337" customWidth="1"/>
    <col min="4632" max="4864" width="11.42578125" style="337"/>
    <col min="4865" max="4865" width="5.7109375" style="337" customWidth="1"/>
    <col min="4866" max="4866" width="2.7109375" style="337" customWidth="1"/>
    <col min="4867" max="4868" width="3.7109375" style="337" customWidth="1"/>
    <col min="4869" max="4869" width="2.7109375" style="337" customWidth="1"/>
    <col min="4870" max="4870" width="3.7109375" style="337" customWidth="1"/>
    <col min="4871" max="4871" width="2.7109375" style="337" customWidth="1"/>
    <col min="4872" max="4886" width="5.7109375" style="337" customWidth="1"/>
    <col min="4887" max="4887" width="7.85546875" style="337" customWidth="1"/>
    <col min="4888" max="5120" width="11.42578125" style="337"/>
    <col min="5121" max="5121" width="5.7109375" style="337" customWidth="1"/>
    <col min="5122" max="5122" width="2.7109375" style="337" customWidth="1"/>
    <col min="5123" max="5124" width="3.7109375" style="337" customWidth="1"/>
    <col min="5125" max="5125" width="2.7109375" style="337" customWidth="1"/>
    <col min="5126" max="5126" width="3.7109375" style="337" customWidth="1"/>
    <col min="5127" max="5127" width="2.7109375" style="337" customWidth="1"/>
    <col min="5128" max="5142" width="5.7109375" style="337" customWidth="1"/>
    <col min="5143" max="5143" width="7.85546875" style="337" customWidth="1"/>
    <col min="5144" max="5376" width="11.42578125" style="337"/>
    <col min="5377" max="5377" width="5.7109375" style="337" customWidth="1"/>
    <col min="5378" max="5378" width="2.7109375" style="337" customWidth="1"/>
    <col min="5379" max="5380" width="3.7109375" style="337" customWidth="1"/>
    <col min="5381" max="5381" width="2.7109375" style="337" customWidth="1"/>
    <col min="5382" max="5382" width="3.7109375" style="337" customWidth="1"/>
    <col min="5383" max="5383" width="2.7109375" style="337" customWidth="1"/>
    <col min="5384" max="5398" width="5.7109375" style="337" customWidth="1"/>
    <col min="5399" max="5399" width="7.85546875" style="337" customWidth="1"/>
    <col min="5400" max="5632" width="11.42578125" style="337"/>
    <col min="5633" max="5633" width="5.7109375" style="337" customWidth="1"/>
    <col min="5634" max="5634" width="2.7109375" style="337" customWidth="1"/>
    <col min="5635" max="5636" width="3.7109375" style="337" customWidth="1"/>
    <col min="5637" max="5637" width="2.7109375" style="337" customWidth="1"/>
    <col min="5638" max="5638" width="3.7109375" style="337" customWidth="1"/>
    <col min="5639" max="5639" width="2.7109375" style="337" customWidth="1"/>
    <col min="5640" max="5654" width="5.7109375" style="337" customWidth="1"/>
    <col min="5655" max="5655" width="7.85546875" style="337" customWidth="1"/>
    <col min="5656" max="5888" width="11.42578125" style="337"/>
    <col min="5889" max="5889" width="5.7109375" style="337" customWidth="1"/>
    <col min="5890" max="5890" width="2.7109375" style="337" customWidth="1"/>
    <col min="5891" max="5892" width="3.7109375" style="337" customWidth="1"/>
    <col min="5893" max="5893" width="2.7109375" style="337" customWidth="1"/>
    <col min="5894" max="5894" width="3.7109375" style="337" customWidth="1"/>
    <col min="5895" max="5895" width="2.7109375" style="337" customWidth="1"/>
    <col min="5896" max="5910" width="5.7109375" style="337" customWidth="1"/>
    <col min="5911" max="5911" width="7.85546875" style="337" customWidth="1"/>
    <col min="5912" max="6144" width="11.42578125" style="337"/>
    <col min="6145" max="6145" width="5.7109375" style="337" customWidth="1"/>
    <col min="6146" max="6146" width="2.7109375" style="337" customWidth="1"/>
    <col min="6147" max="6148" width="3.7109375" style="337" customWidth="1"/>
    <col min="6149" max="6149" width="2.7109375" style="337" customWidth="1"/>
    <col min="6150" max="6150" width="3.7109375" style="337" customWidth="1"/>
    <col min="6151" max="6151" width="2.7109375" style="337" customWidth="1"/>
    <col min="6152" max="6166" width="5.7109375" style="337" customWidth="1"/>
    <col min="6167" max="6167" width="7.85546875" style="337" customWidth="1"/>
    <col min="6168" max="6400" width="11.42578125" style="337"/>
    <col min="6401" max="6401" width="5.7109375" style="337" customWidth="1"/>
    <col min="6402" max="6402" width="2.7109375" style="337" customWidth="1"/>
    <col min="6403" max="6404" width="3.7109375" style="337" customWidth="1"/>
    <col min="6405" max="6405" width="2.7109375" style="337" customWidth="1"/>
    <col min="6406" max="6406" width="3.7109375" style="337" customWidth="1"/>
    <col min="6407" max="6407" width="2.7109375" style="337" customWidth="1"/>
    <col min="6408" max="6422" width="5.7109375" style="337" customWidth="1"/>
    <col min="6423" max="6423" width="7.85546875" style="337" customWidth="1"/>
    <col min="6424" max="6656" width="11.42578125" style="337"/>
    <col min="6657" max="6657" width="5.7109375" style="337" customWidth="1"/>
    <col min="6658" max="6658" width="2.7109375" style="337" customWidth="1"/>
    <col min="6659" max="6660" width="3.7109375" style="337" customWidth="1"/>
    <col min="6661" max="6661" width="2.7109375" style="337" customWidth="1"/>
    <col min="6662" max="6662" width="3.7109375" style="337" customWidth="1"/>
    <col min="6663" max="6663" width="2.7109375" style="337" customWidth="1"/>
    <col min="6664" max="6678" width="5.7109375" style="337" customWidth="1"/>
    <col min="6679" max="6679" width="7.85546875" style="337" customWidth="1"/>
    <col min="6680" max="6912" width="11.42578125" style="337"/>
    <col min="6913" max="6913" width="5.7109375" style="337" customWidth="1"/>
    <col min="6914" max="6914" width="2.7109375" style="337" customWidth="1"/>
    <col min="6915" max="6916" width="3.7109375" style="337" customWidth="1"/>
    <col min="6917" max="6917" width="2.7109375" style="337" customWidth="1"/>
    <col min="6918" max="6918" width="3.7109375" style="337" customWidth="1"/>
    <col min="6919" max="6919" width="2.7109375" style="337" customWidth="1"/>
    <col min="6920" max="6934" width="5.7109375" style="337" customWidth="1"/>
    <col min="6935" max="6935" width="7.85546875" style="337" customWidth="1"/>
    <col min="6936" max="7168" width="11.42578125" style="337"/>
    <col min="7169" max="7169" width="5.7109375" style="337" customWidth="1"/>
    <col min="7170" max="7170" width="2.7109375" style="337" customWidth="1"/>
    <col min="7171" max="7172" width="3.7109375" style="337" customWidth="1"/>
    <col min="7173" max="7173" width="2.7109375" style="337" customWidth="1"/>
    <col min="7174" max="7174" width="3.7109375" style="337" customWidth="1"/>
    <col min="7175" max="7175" width="2.7109375" style="337" customWidth="1"/>
    <col min="7176" max="7190" width="5.7109375" style="337" customWidth="1"/>
    <col min="7191" max="7191" width="7.85546875" style="337" customWidth="1"/>
    <col min="7192" max="7424" width="11.42578125" style="337"/>
    <col min="7425" max="7425" width="5.7109375" style="337" customWidth="1"/>
    <col min="7426" max="7426" width="2.7109375" style="337" customWidth="1"/>
    <col min="7427" max="7428" width="3.7109375" style="337" customWidth="1"/>
    <col min="7429" max="7429" width="2.7109375" style="337" customWidth="1"/>
    <col min="7430" max="7430" width="3.7109375" style="337" customWidth="1"/>
    <col min="7431" max="7431" width="2.7109375" style="337" customWidth="1"/>
    <col min="7432" max="7446" width="5.7109375" style="337" customWidth="1"/>
    <col min="7447" max="7447" width="7.85546875" style="337" customWidth="1"/>
    <col min="7448" max="7680" width="11.42578125" style="337"/>
    <col min="7681" max="7681" width="5.7109375" style="337" customWidth="1"/>
    <col min="7682" max="7682" width="2.7109375" style="337" customWidth="1"/>
    <col min="7683" max="7684" width="3.7109375" style="337" customWidth="1"/>
    <col min="7685" max="7685" width="2.7109375" style="337" customWidth="1"/>
    <col min="7686" max="7686" width="3.7109375" style="337" customWidth="1"/>
    <col min="7687" max="7687" width="2.7109375" style="337" customWidth="1"/>
    <col min="7688" max="7702" width="5.7109375" style="337" customWidth="1"/>
    <col min="7703" max="7703" width="7.85546875" style="337" customWidth="1"/>
    <col min="7704" max="7936" width="11.42578125" style="337"/>
    <col min="7937" max="7937" width="5.7109375" style="337" customWidth="1"/>
    <col min="7938" max="7938" width="2.7109375" style="337" customWidth="1"/>
    <col min="7939" max="7940" width="3.7109375" style="337" customWidth="1"/>
    <col min="7941" max="7941" width="2.7109375" style="337" customWidth="1"/>
    <col min="7942" max="7942" width="3.7109375" style="337" customWidth="1"/>
    <col min="7943" max="7943" width="2.7109375" style="337" customWidth="1"/>
    <col min="7944" max="7958" width="5.7109375" style="337" customWidth="1"/>
    <col min="7959" max="7959" width="7.85546875" style="337" customWidth="1"/>
    <col min="7960" max="8192" width="11.42578125" style="337"/>
    <col min="8193" max="8193" width="5.7109375" style="337" customWidth="1"/>
    <col min="8194" max="8194" width="2.7109375" style="337" customWidth="1"/>
    <col min="8195" max="8196" width="3.7109375" style="337" customWidth="1"/>
    <col min="8197" max="8197" width="2.7109375" style="337" customWidth="1"/>
    <col min="8198" max="8198" width="3.7109375" style="337" customWidth="1"/>
    <col min="8199" max="8199" width="2.7109375" style="337" customWidth="1"/>
    <col min="8200" max="8214" width="5.7109375" style="337" customWidth="1"/>
    <col min="8215" max="8215" width="7.85546875" style="337" customWidth="1"/>
    <col min="8216" max="8448" width="11.42578125" style="337"/>
    <col min="8449" max="8449" width="5.7109375" style="337" customWidth="1"/>
    <col min="8450" max="8450" width="2.7109375" style="337" customWidth="1"/>
    <col min="8451" max="8452" width="3.7109375" style="337" customWidth="1"/>
    <col min="8453" max="8453" width="2.7109375" style="337" customWidth="1"/>
    <col min="8454" max="8454" width="3.7109375" style="337" customWidth="1"/>
    <col min="8455" max="8455" width="2.7109375" style="337" customWidth="1"/>
    <col min="8456" max="8470" width="5.7109375" style="337" customWidth="1"/>
    <col min="8471" max="8471" width="7.85546875" style="337" customWidth="1"/>
    <col min="8472" max="8704" width="11.42578125" style="337"/>
    <col min="8705" max="8705" width="5.7109375" style="337" customWidth="1"/>
    <col min="8706" max="8706" width="2.7109375" style="337" customWidth="1"/>
    <col min="8707" max="8708" width="3.7109375" style="337" customWidth="1"/>
    <col min="8709" max="8709" width="2.7109375" style="337" customWidth="1"/>
    <col min="8710" max="8710" width="3.7109375" style="337" customWidth="1"/>
    <col min="8711" max="8711" width="2.7109375" style="337" customWidth="1"/>
    <col min="8712" max="8726" width="5.7109375" style="337" customWidth="1"/>
    <col min="8727" max="8727" width="7.85546875" style="337" customWidth="1"/>
    <col min="8728" max="8960" width="11.42578125" style="337"/>
    <col min="8961" max="8961" width="5.7109375" style="337" customWidth="1"/>
    <col min="8962" max="8962" width="2.7109375" style="337" customWidth="1"/>
    <col min="8963" max="8964" width="3.7109375" style="337" customWidth="1"/>
    <col min="8965" max="8965" width="2.7109375" style="337" customWidth="1"/>
    <col min="8966" max="8966" width="3.7109375" style="337" customWidth="1"/>
    <col min="8967" max="8967" width="2.7109375" style="337" customWidth="1"/>
    <col min="8968" max="8982" width="5.7109375" style="337" customWidth="1"/>
    <col min="8983" max="8983" width="7.85546875" style="337" customWidth="1"/>
    <col min="8984" max="9216" width="11.42578125" style="337"/>
    <col min="9217" max="9217" width="5.7109375" style="337" customWidth="1"/>
    <col min="9218" max="9218" width="2.7109375" style="337" customWidth="1"/>
    <col min="9219" max="9220" width="3.7109375" style="337" customWidth="1"/>
    <col min="9221" max="9221" width="2.7109375" style="337" customWidth="1"/>
    <col min="9222" max="9222" width="3.7109375" style="337" customWidth="1"/>
    <col min="9223" max="9223" width="2.7109375" style="337" customWidth="1"/>
    <col min="9224" max="9238" width="5.7109375" style="337" customWidth="1"/>
    <col min="9239" max="9239" width="7.85546875" style="337" customWidth="1"/>
    <col min="9240" max="9472" width="11.42578125" style="337"/>
    <col min="9473" max="9473" width="5.7109375" style="337" customWidth="1"/>
    <col min="9474" max="9474" width="2.7109375" style="337" customWidth="1"/>
    <col min="9475" max="9476" width="3.7109375" style="337" customWidth="1"/>
    <col min="9477" max="9477" width="2.7109375" style="337" customWidth="1"/>
    <col min="9478" max="9478" width="3.7109375" style="337" customWidth="1"/>
    <col min="9479" max="9479" width="2.7109375" style="337" customWidth="1"/>
    <col min="9480" max="9494" width="5.7109375" style="337" customWidth="1"/>
    <col min="9495" max="9495" width="7.85546875" style="337" customWidth="1"/>
    <col min="9496" max="9728" width="11.42578125" style="337"/>
    <col min="9729" max="9729" width="5.7109375" style="337" customWidth="1"/>
    <col min="9730" max="9730" width="2.7109375" style="337" customWidth="1"/>
    <col min="9731" max="9732" width="3.7109375" style="337" customWidth="1"/>
    <col min="9733" max="9733" width="2.7109375" style="337" customWidth="1"/>
    <col min="9734" max="9734" width="3.7109375" style="337" customWidth="1"/>
    <col min="9735" max="9735" width="2.7109375" style="337" customWidth="1"/>
    <col min="9736" max="9750" width="5.7109375" style="337" customWidth="1"/>
    <col min="9751" max="9751" width="7.85546875" style="337" customWidth="1"/>
    <col min="9752" max="9984" width="11.42578125" style="337"/>
    <col min="9985" max="9985" width="5.7109375" style="337" customWidth="1"/>
    <col min="9986" max="9986" width="2.7109375" style="337" customWidth="1"/>
    <col min="9987" max="9988" width="3.7109375" style="337" customWidth="1"/>
    <col min="9989" max="9989" width="2.7109375" style="337" customWidth="1"/>
    <col min="9990" max="9990" width="3.7109375" style="337" customWidth="1"/>
    <col min="9991" max="9991" width="2.7109375" style="337" customWidth="1"/>
    <col min="9992" max="10006" width="5.7109375" style="337" customWidth="1"/>
    <col min="10007" max="10007" width="7.85546875" style="337" customWidth="1"/>
    <col min="10008" max="10240" width="11.42578125" style="337"/>
    <col min="10241" max="10241" width="5.7109375" style="337" customWidth="1"/>
    <col min="10242" max="10242" width="2.7109375" style="337" customWidth="1"/>
    <col min="10243" max="10244" width="3.7109375" style="337" customWidth="1"/>
    <col min="10245" max="10245" width="2.7109375" style="337" customWidth="1"/>
    <col min="10246" max="10246" width="3.7109375" style="337" customWidth="1"/>
    <col min="10247" max="10247" width="2.7109375" style="337" customWidth="1"/>
    <col min="10248" max="10262" width="5.7109375" style="337" customWidth="1"/>
    <col min="10263" max="10263" width="7.85546875" style="337" customWidth="1"/>
    <col min="10264" max="10496" width="11.42578125" style="337"/>
    <col min="10497" max="10497" width="5.7109375" style="337" customWidth="1"/>
    <col min="10498" max="10498" width="2.7109375" style="337" customWidth="1"/>
    <col min="10499" max="10500" width="3.7109375" style="337" customWidth="1"/>
    <col min="10501" max="10501" width="2.7109375" style="337" customWidth="1"/>
    <col min="10502" max="10502" width="3.7109375" style="337" customWidth="1"/>
    <col min="10503" max="10503" width="2.7109375" style="337" customWidth="1"/>
    <col min="10504" max="10518" width="5.7109375" style="337" customWidth="1"/>
    <col min="10519" max="10519" width="7.85546875" style="337" customWidth="1"/>
    <col min="10520" max="10752" width="11.42578125" style="337"/>
    <col min="10753" max="10753" width="5.7109375" style="337" customWidth="1"/>
    <col min="10754" max="10754" width="2.7109375" style="337" customWidth="1"/>
    <col min="10755" max="10756" width="3.7109375" style="337" customWidth="1"/>
    <col min="10757" max="10757" width="2.7109375" style="337" customWidth="1"/>
    <col min="10758" max="10758" width="3.7109375" style="337" customWidth="1"/>
    <col min="10759" max="10759" width="2.7109375" style="337" customWidth="1"/>
    <col min="10760" max="10774" width="5.7109375" style="337" customWidth="1"/>
    <col min="10775" max="10775" width="7.85546875" style="337" customWidth="1"/>
    <col min="10776" max="11008" width="11.42578125" style="337"/>
    <col min="11009" max="11009" width="5.7109375" style="337" customWidth="1"/>
    <col min="11010" max="11010" width="2.7109375" style="337" customWidth="1"/>
    <col min="11011" max="11012" width="3.7109375" style="337" customWidth="1"/>
    <col min="11013" max="11013" width="2.7109375" style="337" customWidth="1"/>
    <col min="11014" max="11014" width="3.7109375" style="337" customWidth="1"/>
    <col min="11015" max="11015" width="2.7109375" style="337" customWidth="1"/>
    <col min="11016" max="11030" width="5.7109375" style="337" customWidth="1"/>
    <col min="11031" max="11031" width="7.85546875" style="337" customWidth="1"/>
    <col min="11032" max="11264" width="11.42578125" style="337"/>
    <col min="11265" max="11265" width="5.7109375" style="337" customWidth="1"/>
    <col min="11266" max="11266" width="2.7109375" style="337" customWidth="1"/>
    <col min="11267" max="11268" width="3.7109375" style="337" customWidth="1"/>
    <col min="11269" max="11269" width="2.7109375" style="337" customWidth="1"/>
    <col min="11270" max="11270" width="3.7109375" style="337" customWidth="1"/>
    <col min="11271" max="11271" width="2.7109375" style="337" customWidth="1"/>
    <col min="11272" max="11286" width="5.7109375" style="337" customWidth="1"/>
    <col min="11287" max="11287" width="7.85546875" style="337" customWidth="1"/>
    <col min="11288" max="11520" width="11.42578125" style="337"/>
    <col min="11521" max="11521" width="5.7109375" style="337" customWidth="1"/>
    <col min="11522" max="11522" width="2.7109375" style="337" customWidth="1"/>
    <col min="11523" max="11524" width="3.7109375" style="337" customWidth="1"/>
    <col min="11525" max="11525" width="2.7109375" style="337" customWidth="1"/>
    <col min="11526" max="11526" width="3.7109375" style="337" customWidth="1"/>
    <col min="11527" max="11527" width="2.7109375" style="337" customWidth="1"/>
    <col min="11528" max="11542" width="5.7109375" style="337" customWidth="1"/>
    <col min="11543" max="11543" width="7.85546875" style="337" customWidth="1"/>
    <col min="11544" max="11776" width="11.42578125" style="337"/>
    <col min="11777" max="11777" width="5.7109375" style="337" customWidth="1"/>
    <col min="11778" max="11778" width="2.7109375" style="337" customWidth="1"/>
    <col min="11779" max="11780" width="3.7109375" style="337" customWidth="1"/>
    <col min="11781" max="11781" width="2.7109375" style="337" customWidth="1"/>
    <col min="11782" max="11782" width="3.7109375" style="337" customWidth="1"/>
    <col min="11783" max="11783" width="2.7109375" style="337" customWidth="1"/>
    <col min="11784" max="11798" width="5.7109375" style="337" customWidth="1"/>
    <col min="11799" max="11799" width="7.85546875" style="337" customWidth="1"/>
    <col min="11800" max="12032" width="11.42578125" style="337"/>
    <col min="12033" max="12033" width="5.7109375" style="337" customWidth="1"/>
    <col min="12034" max="12034" width="2.7109375" style="337" customWidth="1"/>
    <col min="12035" max="12036" width="3.7109375" style="337" customWidth="1"/>
    <col min="12037" max="12037" width="2.7109375" style="337" customWidth="1"/>
    <col min="12038" max="12038" width="3.7109375" style="337" customWidth="1"/>
    <col min="12039" max="12039" width="2.7109375" style="337" customWidth="1"/>
    <col min="12040" max="12054" width="5.7109375" style="337" customWidth="1"/>
    <col min="12055" max="12055" width="7.85546875" style="337" customWidth="1"/>
    <col min="12056" max="12288" width="11.42578125" style="337"/>
    <col min="12289" max="12289" width="5.7109375" style="337" customWidth="1"/>
    <col min="12290" max="12290" width="2.7109375" style="337" customWidth="1"/>
    <col min="12291" max="12292" width="3.7109375" style="337" customWidth="1"/>
    <col min="12293" max="12293" width="2.7109375" style="337" customWidth="1"/>
    <col min="12294" max="12294" width="3.7109375" style="337" customWidth="1"/>
    <col min="12295" max="12295" width="2.7109375" style="337" customWidth="1"/>
    <col min="12296" max="12310" width="5.7109375" style="337" customWidth="1"/>
    <col min="12311" max="12311" width="7.85546875" style="337" customWidth="1"/>
    <col min="12312" max="12544" width="11.42578125" style="337"/>
    <col min="12545" max="12545" width="5.7109375" style="337" customWidth="1"/>
    <col min="12546" max="12546" width="2.7109375" style="337" customWidth="1"/>
    <col min="12547" max="12548" width="3.7109375" style="337" customWidth="1"/>
    <col min="12549" max="12549" width="2.7109375" style="337" customWidth="1"/>
    <col min="12550" max="12550" width="3.7109375" style="337" customWidth="1"/>
    <col min="12551" max="12551" width="2.7109375" style="337" customWidth="1"/>
    <col min="12552" max="12566" width="5.7109375" style="337" customWidth="1"/>
    <col min="12567" max="12567" width="7.85546875" style="337" customWidth="1"/>
    <col min="12568" max="12800" width="11.42578125" style="337"/>
    <col min="12801" max="12801" width="5.7109375" style="337" customWidth="1"/>
    <col min="12802" max="12802" width="2.7109375" style="337" customWidth="1"/>
    <col min="12803" max="12804" width="3.7109375" style="337" customWidth="1"/>
    <col min="12805" max="12805" width="2.7109375" style="337" customWidth="1"/>
    <col min="12806" max="12806" width="3.7109375" style="337" customWidth="1"/>
    <col min="12807" max="12807" width="2.7109375" style="337" customWidth="1"/>
    <col min="12808" max="12822" width="5.7109375" style="337" customWidth="1"/>
    <col min="12823" max="12823" width="7.85546875" style="337" customWidth="1"/>
    <col min="12824" max="13056" width="11.42578125" style="337"/>
    <col min="13057" max="13057" width="5.7109375" style="337" customWidth="1"/>
    <col min="13058" max="13058" width="2.7109375" style="337" customWidth="1"/>
    <col min="13059" max="13060" width="3.7109375" style="337" customWidth="1"/>
    <col min="13061" max="13061" width="2.7109375" style="337" customWidth="1"/>
    <col min="13062" max="13062" width="3.7109375" style="337" customWidth="1"/>
    <col min="13063" max="13063" width="2.7109375" style="337" customWidth="1"/>
    <col min="13064" max="13078" width="5.7109375" style="337" customWidth="1"/>
    <col min="13079" max="13079" width="7.85546875" style="337" customWidth="1"/>
    <col min="13080" max="13312" width="11.42578125" style="337"/>
    <col min="13313" max="13313" width="5.7109375" style="337" customWidth="1"/>
    <col min="13314" max="13314" width="2.7109375" style="337" customWidth="1"/>
    <col min="13315" max="13316" width="3.7109375" style="337" customWidth="1"/>
    <col min="13317" max="13317" width="2.7109375" style="337" customWidth="1"/>
    <col min="13318" max="13318" width="3.7109375" style="337" customWidth="1"/>
    <col min="13319" max="13319" width="2.7109375" style="337" customWidth="1"/>
    <col min="13320" max="13334" width="5.7109375" style="337" customWidth="1"/>
    <col min="13335" max="13335" width="7.85546875" style="337" customWidth="1"/>
    <col min="13336" max="13568" width="11.42578125" style="337"/>
    <col min="13569" max="13569" width="5.7109375" style="337" customWidth="1"/>
    <col min="13570" max="13570" width="2.7109375" style="337" customWidth="1"/>
    <col min="13571" max="13572" width="3.7109375" style="337" customWidth="1"/>
    <col min="13573" max="13573" width="2.7109375" style="337" customWidth="1"/>
    <col min="13574" max="13574" width="3.7109375" style="337" customWidth="1"/>
    <col min="13575" max="13575" width="2.7109375" style="337" customWidth="1"/>
    <col min="13576" max="13590" width="5.7109375" style="337" customWidth="1"/>
    <col min="13591" max="13591" width="7.85546875" style="337" customWidth="1"/>
    <col min="13592" max="13824" width="11.42578125" style="337"/>
    <col min="13825" max="13825" width="5.7109375" style="337" customWidth="1"/>
    <col min="13826" max="13826" width="2.7109375" style="337" customWidth="1"/>
    <col min="13827" max="13828" width="3.7109375" style="337" customWidth="1"/>
    <col min="13829" max="13829" width="2.7109375" style="337" customWidth="1"/>
    <col min="13830" max="13830" width="3.7109375" style="337" customWidth="1"/>
    <col min="13831" max="13831" width="2.7109375" style="337" customWidth="1"/>
    <col min="13832" max="13846" width="5.7109375" style="337" customWidth="1"/>
    <col min="13847" max="13847" width="7.85546875" style="337" customWidth="1"/>
    <col min="13848" max="14080" width="11.42578125" style="337"/>
    <col min="14081" max="14081" width="5.7109375" style="337" customWidth="1"/>
    <col min="14082" max="14082" width="2.7109375" style="337" customWidth="1"/>
    <col min="14083" max="14084" width="3.7109375" style="337" customWidth="1"/>
    <col min="14085" max="14085" width="2.7109375" style="337" customWidth="1"/>
    <col min="14086" max="14086" width="3.7109375" style="337" customWidth="1"/>
    <col min="14087" max="14087" width="2.7109375" style="337" customWidth="1"/>
    <col min="14088" max="14102" width="5.7109375" style="337" customWidth="1"/>
    <col min="14103" max="14103" width="7.85546875" style="337" customWidth="1"/>
    <col min="14104" max="14336" width="11.42578125" style="337"/>
    <col min="14337" max="14337" width="5.7109375" style="337" customWidth="1"/>
    <col min="14338" max="14338" width="2.7109375" style="337" customWidth="1"/>
    <col min="14339" max="14340" width="3.7109375" style="337" customWidth="1"/>
    <col min="14341" max="14341" width="2.7109375" style="337" customWidth="1"/>
    <col min="14342" max="14342" width="3.7109375" style="337" customWidth="1"/>
    <col min="14343" max="14343" width="2.7109375" style="337" customWidth="1"/>
    <col min="14344" max="14358" width="5.7109375" style="337" customWidth="1"/>
    <col min="14359" max="14359" width="7.85546875" style="337" customWidth="1"/>
    <col min="14360" max="14592" width="11.42578125" style="337"/>
    <col min="14593" max="14593" width="5.7109375" style="337" customWidth="1"/>
    <col min="14594" max="14594" width="2.7109375" style="337" customWidth="1"/>
    <col min="14595" max="14596" width="3.7109375" style="337" customWidth="1"/>
    <col min="14597" max="14597" width="2.7109375" style="337" customWidth="1"/>
    <col min="14598" max="14598" width="3.7109375" style="337" customWidth="1"/>
    <col min="14599" max="14599" width="2.7109375" style="337" customWidth="1"/>
    <col min="14600" max="14614" width="5.7109375" style="337" customWidth="1"/>
    <col min="14615" max="14615" width="7.85546875" style="337" customWidth="1"/>
    <col min="14616" max="14848" width="11.42578125" style="337"/>
    <col min="14849" max="14849" width="5.7109375" style="337" customWidth="1"/>
    <col min="14850" max="14850" width="2.7109375" style="337" customWidth="1"/>
    <col min="14851" max="14852" width="3.7109375" style="337" customWidth="1"/>
    <col min="14853" max="14853" width="2.7109375" style="337" customWidth="1"/>
    <col min="14854" max="14854" width="3.7109375" style="337" customWidth="1"/>
    <col min="14855" max="14855" width="2.7109375" style="337" customWidth="1"/>
    <col min="14856" max="14870" width="5.7109375" style="337" customWidth="1"/>
    <col min="14871" max="14871" width="7.85546875" style="337" customWidth="1"/>
    <col min="14872" max="15104" width="11.42578125" style="337"/>
    <col min="15105" max="15105" width="5.7109375" style="337" customWidth="1"/>
    <col min="15106" max="15106" width="2.7109375" style="337" customWidth="1"/>
    <col min="15107" max="15108" width="3.7109375" style="337" customWidth="1"/>
    <col min="15109" max="15109" width="2.7109375" style="337" customWidth="1"/>
    <col min="15110" max="15110" width="3.7109375" style="337" customWidth="1"/>
    <col min="15111" max="15111" width="2.7109375" style="337" customWidth="1"/>
    <col min="15112" max="15126" width="5.7109375" style="337" customWidth="1"/>
    <col min="15127" max="15127" width="7.85546875" style="337" customWidth="1"/>
    <col min="15128" max="15360" width="11.42578125" style="337"/>
    <col min="15361" max="15361" width="5.7109375" style="337" customWidth="1"/>
    <col min="15362" max="15362" width="2.7109375" style="337" customWidth="1"/>
    <col min="15363" max="15364" width="3.7109375" style="337" customWidth="1"/>
    <col min="15365" max="15365" width="2.7109375" style="337" customWidth="1"/>
    <col min="15366" max="15366" width="3.7109375" style="337" customWidth="1"/>
    <col min="15367" max="15367" width="2.7109375" style="337" customWidth="1"/>
    <col min="15368" max="15382" width="5.7109375" style="337" customWidth="1"/>
    <col min="15383" max="15383" width="7.85546875" style="337" customWidth="1"/>
    <col min="15384" max="15616" width="11.42578125" style="337"/>
    <col min="15617" max="15617" width="5.7109375" style="337" customWidth="1"/>
    <col min="15618" max="15618" width="2.7109375" style="337" customWidth="1"/>
    <col min="15619" max="15620" width="3.7109375" style="337" customWidth="1"/>
    <col min="15621" max="15621" width="2.7109375" style="337" customWidth="1"/>
    <col min="15622" max="15622" width="3.7109375" style="337" customWidth="1"/>
    <col min="15623" max="15623" width="2.7109375" style="337" customWidth="1"/>
    <col min="15624" max="15638" width="5.7109375" style="337" customWidth="1"/>
    <col min="15639" max="15639" width="7.85546875" style="337" customWidth="1"/>
    <col min="15640" max="15872" width="11.42578125" style="337"/>
    <col min="15873" max="15873" width="5.7109375" style="337" customWidth="1"/>
    <col min="15874" max="15874" width="2.7109375" style="337" customWidth="1"/>
    <col min="15875" max="15876" width="3.7109375" style="337" customWidth="1"/>
    <col min="15877" max="15877" width="2.7109375" style="337" customWidth="1"/>
    <col min="15878" max="15878" width="3.7109375" style="337" customWidth="1"/>
    <col min="15879" max="15879" width="2.7109375" style="337" customWidth="1"/>
    <col min="15880" max="15894" width="5.7109375" style="337" customWidth="1"/>
    <col min="15895" max="15895" width="7.85546875" style="337" customWidth="1"/>
    <col min="15896" max="16128" width="11.42578125" style="337"/>
    <col min="16129" max="16129" width="5.7109375" style="337" customWidth="1"/>
    <col min="16130" max="16130" width="2.7109375" style="337" customWidth="1"/>
    <col min="16131" max="16132" width="3.7109375" style="337" customWidth="1"/>
    <col min="16133" max="16133" width="2.7109375" style="337" customWidth="1"/>
    <col min="16134" max="16134" width="3.7109375" style="337" customWidth="1"/>
    <col min="16135" max="16135" width="2.7109375" style="337" customWidth="1"/>
    <col min="16136" max="16150" width="5.7109375" style="337" customWidth="1"/>
    <col min="16151" max="16151" width="7.85546875" style="337" customWidth="1"/>
    <col min="16152" max="16384" width="11.42578125" style="337"/>
  </cols>
  <sheetData>
    <row r="1" spans="2:23">
      <c r="B1" s="878" t="s">
        <v>267</v>
      </c>
      <c r="C1" s="878"/>
      <c r="D1" s="878"/>
      <c r="E1" s="878"/>
      <c r="F1" s="878"/>
      <c r="G1" s="878"/>
      <c r="H1" s="878"/>
      <c r="I1" s="878"/>
      <c r="J1" s="878"/>
      <c r="K1" s="878"/>
      <c r="L1" s="878"/>
      <c r="M1" s="878"/>
      <c r="N1" s="878"/>
      <c r="O1" s="878"/>
      <c r="P1" s="878"/>
      <c r="Q1" s="878"/>
      <c r="R1" s="878"/>
      <c r="S1" s="878"/>
      <c r="T1" s="878"/>
      <c r="U1" s="878"/>
      <c r="V1" s="878"/>
      <c r="W1" s="878"/>
    </row>
    <row r="2" spans="2:23" ht="12.75" customHeight="1">
      <c r="B2" s="879" t="s">
        <v>268</v>
      </c>
      <c r="C2" s="879"/>
      <c r="D2" s="879"/>
      <c r="E2" s="880" t="s">
        <v>269</v>
      </c>
      <c r="F2" s="880"/>
      <c r="G2" s="880"/>
      <c r="H2" s="881" t="s">
        <v>270</v>
      </c>
      <c r="I2" s="881"/>
      <c r="J2" s="881"/>
      <c r="K2" s="881"/>
      <c r="L2" s="881"/>
      <c r="M2" s="881"/>
      <c r="N2" s="881"/>
      <c r="O2" s="881"/>
      <c r="P2" s="881"/>
      <c r="Q2" s="881"/>
      <c r="R2" s="881"/>
      <c r="S2" s="881"/>
      <c r="T2" s="881"/>
      <c r="U2" s="881"/>
      <c r="V2" s="881"/>
      <c r="W2" s="881"/>
    </row>
    <row r="3" spans="2:23" ht="12.75" customHeight="1">
      <c r="B3" s="872" t="s">
        <v>271</v>
      </c>
      <c r="C3" s="872"/>
      <c r="D3" s="872"/>
      <c r="E3" s="882" t="s">
        <v>272</v>
      </c>
      <c r="F3" s="882"/>
      <c r="G3" s="882"/>
      <c r="H3" s="874" t="s">
        <v>273</v>
      </c>
      <c r="I3" s="874"/>
      <c r="J3" s="874"/>
      <c r="K3" s="874"/>
      <c r="L3" s="874"/>
      <c r="M3" s="874"/>
      <c r="N3" s="874"/>
      <c r="O3" s="874"/>
      <c r="P3" s="874"/>
      <c r="Q3" s="874"/>
      <c r="R3" s="874"/>
      <c r="S3" s="874"/>
      <c r="T3" s="874"/>
      <c r="U3" s="874"/>
      <c r="V3" s="874"/>
      <c r="W3" s="874"/>
    </row>
    <row r="4" spans="2:23">
      <c r="B4" s="872"/>
      <c r="C4" s="872"/>
      <c r="D4" s="872"/>
      <c r="E4" s="882"/>
      <c r="F4" s="882"/>
      <c r="G4" s="882"/>
      <c r="H4" s="874"/>
      <c r="I4" s="874"/>
      <c r="J4" s="874"/>
      <c r="K4" s="874"/>
      <c r="L4" s="874"/>
      <c r="M4" s="874"/>
      <c r="N4" s="874"/>
      <c r="O4" s="874"/>
      <c r="P4" s="874"/>
      <c r="Q4" s="874"/>
      <c r="R4" s="874"/>
      <c r="S4" s="874"/>
      <c r="T4" s="874"/>
      <c r="U4" s="874"/>
      <c r="V4" s="874"/>
      <c r="W4" s="874"/>
    </row>
    <row r="5" spans="2:23" ht="12.75" customHeight="1">
      <c r="B5" s="872" t="s">
        <v>274</v>
      </c>
      <c r="C5" s="872"/>
      <c r="D5" s="872"/>
      <c r="E5" s="873" t="s">
        <v>275</v>
      </c>
      <c r="F5" s="873"/>
      <c r="G5" s="873"/>
      <c r="H5" s="874" t="s">
        <v>276</v>
      </c>
      <c r="I5" s="874"/>
      <c r="J5" s="874"/>
      <c r="K5" s="874"/>
      <c r="L5" s="874"/>
      <c r="M5" s="874"/>
      <c r="N5" s="874"/>
      <c r="O5" s="874"/>
      <c r="P5" s="874"/>
      <c r="Q5" s="874"/>
      <c r="R5" s="874"/>
      <c r="S5" s="874"/>
      <c r="T5" s="874"/>
      <c r="U5" s="874"/>
      <c r="V5" s="874"/>
      <c r="W5" s="874"/>
    </row>
    <row r="6" spans="2:23">
      <c r="B6" s="872"/>
      <c r="C6" s="872"/>
      <c r="D6" s="872"/>
      <c r="E6" s="873"/>
      <c r="F6" s="873"/>
      <c r="G6" s="873"/>
      <c r="H6" s="874"/>
      <c r="I6" s="874"/>
      <c r="J6" s="874"/>
      <c r="K6" s="874"/>
      <c r="L6" s="874"/>
      <c r="M6" s="874"/>
      <c r="N6" s="874"/>
      <c r="O6" s="874"/>
      <c r="P6" s="874"/>
      <c r="Q6" s="874"/>
      <c r="R6" s="874"/>
      <c r="S6" s="874"/>
      <c r="T6" s="874"/>
      <c r="U6" s="874"/>
      <c r="V6" s="874"/>
      <c r="W6" s="874"/>
    </row>
    <row r="7" spans="2:23" ht="13.5" thickBot="1">
      <c r="B7" s="875" t="s">
        <v>277</v>
      </c>
      <c r="C7" s="875"/>
      <c r="D7" s="875"/>
      <c r="E7" s="876" t="s">
        <v>278</v>
      </c>
      <c r="F7" s="876"/>
      <c r="G7" s="876"/>
      <c r="H7" s="877" t="s">
        <v>279</v>
      </c>
      <c r="I7" s="877"/>
      <c r="J7" s="877"/>
      <c r="K7" s="877"/>
      <c r="L7" s="877"/>
      <c r="M7" s="877"/>
      <c r="N7" s="877"/>
      <c r="O7" s="877"/>
      <c r="P7" s="877"/>
      <c r="Q7" s="877"/>
      <c r="R7" s="877"/>
      <c r="S7" s="877"/>
      <c r="T7" s="877"/>
      <c r="U7" s="877"/>
      <c r="V7" s="877"/>
      <c r="W7" s="877"/>
    </row>
    <row r="8" spans="2:23" ht="13.5" thickBot="1">
      <c r="B8" s="875"/>
      <c r="C8" s="875"/>
      <c r="D8" s="875"/>
      <c r="E8" s="876"/>
      <c r="F8" s="876"/>
      <c r="G8" s="876"/>
      <c r="H8" s="877"/>
      <c r="I8" s="877"/>
      <c r="J8" s="877"/>
      <c r="K8" s="877"/>
      <c r="L8" s="877"/>
      <c r="M8" s="877"/>
      <c r="N8" s="877"/>
      <c r="O8" s="877"/>
      <c r="P8" s="877"/>
      <c r="Q8" s="877"/>
      <c r="R8" s="877"/>
      <c r="S8" s="877"/>
      <c r="T8" s="877"/>
      <c r="U8" s="877"/>
      <c r="V8" s="877"/>
      <c r="W8" s="877"/>
    </row>
  </sheetData>
  <sheetProtection selectLockedCells="1" selectUnlockedCells="1"/>
  <mergeCells count="13">
    <mergeCell ref="B1:W1"/>
    <mergeCell ref="B2:D2"/>
    <mergeCell ref="E2:G2"/>
    <mergeCell ref="H2:W2"/>
    <mergeCell ref="B3:D4"/>
    <mergeCell ref="E3:G4"/>
    <mergeCell ref="H3:W4"/>
    <mergeCell ref="B5:D6"/>
    <mergeCell ref="E5:G6"/>
    <mergeCell ref="H5:W6"/>
    <mergeCell ref="B7:D8"/>
    <mergeCell ref="E7:G8"/>
    <mergeCell ref="H7:W8"/>
  </mergeCells>
  <printOptions horizontalCentered="1"/>
  <pageMargins left="0.25" right="0.25" top="1" bottom="1" header="0.51180555555555551" footer="0.49236111111111114"/>
  <pageSetup firstPageNumber="0" orientation="landscape" horizontalDpi="300" verticalDpi="300"/>
  <headerFooter alignWithMargins="0">
    <oddFooter>&amp;L&amp;"Lucida Grande,Regular"&amp;F&amp;C&amp;"Lucida Grande,Regular"&amp;A Page &amp;P/&amp;N&amp;R&amp;"Lucida Grande,Regular"Rev. Date: 122806</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3F4C0-4288-4D08-874C-ADA3A26D89DD}">
  <sheetPr>
    <tabColor theme="7" tint="-0.249977111117893"/>
    <pageSetUpPr fitToPage="1"/>
  </sheetPr>
  <dimension ref="A1:U36"/>
  <sheetViews>
    <sheetView zoomScale="85" zoomScaleNormal="85" zoomScaleSheetLayoutView="40" zoomScalePageLayoutView="40" workbookViewId="0">
      <selection activeCell="K10" sqref="K10"/>
    </sheetView>
  </sheetViews>
  <sheetFormatPr defaultColWidth="11.5703125" defaultRowHeight="12.75"/>
  <cols>
    <col min="1" max="1" width="7.42578125" style="388" customWidth="1"/>
    <col min="2" max="2" width="14.42578125" style="489" customWidth="1"/>
    <col min="3" max="3" width="19.7109375" style="489" customWidth="1"/>
    <col min="4" max="4" width="16.28515625" style="388" customWidth="1"/>
    <col min="5" max="5" width="16.5703125" style="388" customWidth="1"/>
    <col min="6" max="6" width="22" style="388" customWidth="1"/>
    <col min="7" max="7" width="17.7109375" style="388" customWidth="1"/>
    <col min="8" max="8" width="14.7109375" style="388" customWidth="1"/>
    <col min="9" max="9" width="15" style="388" customWidth="1"/>
    <col min="10" max="10" width="15.7109375" style="388" customWidth="1"/>
    <col min="11" max="11" width="9.28515625" style="388" customWidth="1"/>
    <col min="12" max="12" width="10" style="388" customWidth="1"/>
    <col min="13" max="13" width="13.7109375" style="388" customWidth="1"/>
    <col min="14" max="14" width="10.7109375" style="388" customWidth="1"/>
    <col min="15" max="15" width="6" style="388" customWidth="1"/>
    <col min="16" max="17" width="5" style="388" customWidth="1"/>
    <col min="18" max="18" width="8" style="388" customWidth="1"/>
    <col min="19" max="256" width="11.5703125" style="388"/>
    <col min="257" max="257" width="7.42578125" style="388" customWidth="1"/>
    <col min="258" max="258" width="14.42578125" style="388" customWidth="1"/>
    <col min="259" max="259" width="19.7109375" style="388" customWidth="1"/>
    <col min="260" max="260" width="16.28515625" style="388" customWidth="1"/>
    <col min="261" max="261" width="16.5703125" style="388" customWidth="1"/>
    <col min="262" max="262" width="22" style="388" customWidth="1"/>
    <col min="263" max="263" width="17.7109375" style="388" customWidth="1"/>
    <col min="264" max="264" width="14.7109375" style="388" customWidth="1"/>
    <col min="265" max="265" width="15" style="388" customWidth="1"/>
    <col min="266" max="266" width="15.7109375" style="388" customWidth="1"/>
    <col min="267" max="267" width="9.28515625" style="388" customWidth="1"/>
    <col min="268" max="268" width="10" style="388" customWidth="1"/>
    <col min="269" max="269" width="13.7109375" style="388" customWidth="1"/>
    <col min="270" max="270" width="10.7109375" style="388" customWidth="1"/>
    <col min="271" max="271" width="6" style="388" customWidth="1"/>
    <col min="272" max="273" width="5" style="388" customWidth="1"/>
    <col min="274" max="274" width="8" style="388" customWidth="1"/>
    <col min="275" max="512" width="11.5703125" style="388"/>
    <col min="513" max="513" width="7.42578125" style="388" customWidth="1"/>
    <col min="514" max="514" width="14.42578125" style="388" customWidth="1"/>
    <col min="515" max="515" width="19.7109375" style="388" customWidth="1"/>
    <col min="516" max="516" width="16.28515625" style="388" customWidth="1"/>
    <col min="517" max="517" width="16.5703125" style="388" customWidth="1"/>
    <col min="518" max="518" width="22" style="388" customWidth="1"/>
    <col min="519" max="519" width="17.7109375" style="388" customWidth="1"/>
    <col min="520" max="520" width="14.7109375" style="388" customWidth="1"/>
    <col min="521" max="521" width="15" style="388" customWidth="1"/>
    <col min="522" max="522" width="15.7109375" style="388" customWidth="1"/>
    <col min="523" max="523" width="9.28515625" style="388" customWidth="1"/>
    <col min="524" max="524" width="10" style="388" customWidth="1"/>
    <col min="525" max="525" width="13.7109375" style="388" customWidth="1"/>
    <col min="526" max="526" width="10.7109375" style="388" customWidth="1"/>
    <col min="527" max="527" width="6" style="388" customWidth="1"/>
    <col min="528" max="529" width="5" style="388" customWidth="1"/>
    <col min="530" max="530" width="8" style="388" customWidth="1"/>
    <col min="531" max="768" width="11.5703125" style="388"/>
    <col min="769" max="769" width="7.42578125" style="388" customWidth="1"/>
    <col min="770" max="770" width="14.42578125" style="388" customWidth="1"/>
    <col min="771" max="771" width="19.7109375" style="388" customWidth="1"/>
    <col min="772" max="772" width="16.28515625" style="388" customWidth="1"/>
    <col min="773" max="773" width="16.5703125" style="388" customWidth="1"/>
    <col min="774" max="774" width="22" style="388" customWidth="1"/>
    <col min="775" max="775" width="17.7109375" style="388" customWidth="1"/>
    <col min="776" max="776" width="14.7109375" style="388" customWidth="1"/>
    <col min="777" max="777" width="15" style="388" customWidth="1"/>
    <col min="778" max="778" width="15.7109375" style="388" customWidth="1"/>
    <col min="779" max="779" width="9.28515625" style="388" customWidth="1"/>
    <col min="780" max="780" width="10" style="388" customWidth="1"/>
    <col min="781" max="781" width="13.7109375" style="388" customWidth="1"/>
    <col min="782" max="782" width="10.7109375" style="388" customWidth="1"/>
    <col min="783" max="783" width="6" style="388" customWidth="1"/>
    <col min="784" max="785" width="5" style="388" customWidth="1"/>
    <col min="786" max="786" width="8" style="388" customWidth="1"/>
    <col min="787" max="1024" width="11.5703125" style="388"/>
    <col min="1025" max="1025" width="7.42578125" style="388" customWidth="1"/>
    <col min="1026" max="1026" width="14.42578125" style="388" customWidth="1"/>
    <col min="1027" max="1027" width="19.7109375" style="388" customWidth="1"/>
    <col min="1028" max="1028" width="16.28515625" style="388" customWidth="1"/>
    <col min="1029" max="1029" width="16.5703125" style="388" customWidth="1"/>
    <col min="1030" max="1030" width="22" style="388" customWidth="1"/>
    <col min="1031" max="1031" width="17.7109375" style="388" customWidth="1"/>
    <col min="1032" max="1032" width="14.7109375" style="388" customWidth="1"/>
    <col min="1033" max="1033" width="15" style="388" customWidth="1"/>
    <col min="1034" max="1034" width="15.7109375" style="388" customWidth="1"/>
    <col min="1035" max="1035" width="9.28515625" style="388" customWidth="1"/>
    <col min="1036" max="1036" width="10" style="388" customWidth="1"/>
    <col min="1037" max="1037" width="13.7109375" style="388" customWidth="1"/>
    <col min="1038" max="1038" width="10.7109375" style="388" customWidth="1"/>
    <col min="1039" max="1039" width="6" style="388" customWidth="1"/>
    <col min="1040" max="1041" width="5" style="388" customWidth="1"/>
    <col min="1042" max="1042" width="8" style="388" customWidth="1"/>
    <col min="1043" max="1280" width="11.5703125" style="388"/>
    <col min="1281" max="1281" width="7.42578125" style="388" customWidth="1"/>
    <col min="1282" max="1282" width="14.42578125" style="388" customWidth="1"/>
    <col min="1283" max="1283" width="19.7109375" style="388" customWidth="1"/>
    <col min="1284" max="1284" width="16.28515625" style="388" customWidth="1"/>
    <col min="1285" max="1285" width="16.5703125" style="388" customWidth="1"/>
    <col min="1286" max="1286" width="22" style="388" customWidth="1"/>
    <col min="1287" max="1287" width="17.7109375" style="388" customWidth="1"/>
    <col min="1288" max="1288" width="14.7109375" style="388" customWidth="1"/>
    <col min="1289" max="1289" width="15" style="388" customWidth="1"/>
    <col min="1290" max="1290" width="15.7109375" style="388" customWidth="1"/>
    <col min="1291" max="1291" width="9.28515625" style="388" customWidth="1"/>
    <col min="1292" max="1292" width="10" style="388" customWidth="1"/>
    <col min="1293" max="1293" width="13.7109375" style="388" customWidth="1"/>
    <col min="1294" max="1294" width="10.7109375" style="388" customWidth="1"/>
    <col min="1295" max="1295" width="6" style="388" customWidth="1"/>
    <col min="1296" max="1297" width="5" style="388" customWidth="1"/>
    <col min="1298" max="1298" width="8" style="388" customWidth="1"/>
    <col min="1299" max="1536" width="11.5703125" style="388"/>
    <col min="1537" max="1537" width="7.42578125" style="388" customWidth="1"/>
    <col min="1538" max="1538" width="14.42578125" style="388" customWidth="1"/>
    <col min="1539" max="1539" width="19.7109375" style="388" customWidth="1"/>
    <col min="1540" max="1540" width="16.28515625" style="388" customWidth="1"/>
    <col min="1541" max="1541" width="16.5703125" style="388" customWidth="1"/>
    <col min="1542" max="1542" width="22" style="388" customWidth="1"/>
    <col min="1543" max="1543" width="17.7109375" style="388" customWidth="1"/>
    <col min="1544" max="1544" width="14.7109375" style="388" customWidth="1"/>
    <col min="1545" max="1545" width="15" style="388" customWidth="1"/>
    <col min="1546" max="1546" width="15.7109375" style="388" customWidth="1"/>
    <col min="1547" max="1547" width="9.28515625" style="388" customWidth="1"/>
    <col min="1548" max="1548" width="10" style="388" customWidth="1"/>
    <col min="1549" max="1549" width="13.7109375" style="388" customWidth="1"/>
    <col min="1550" max="1550" width="10.7109375" style="388" customWidth="1"/>
    <col min="1551" max="1551" width="6" style="388" customWidth="1"/>
    <col min="1552" max="1553" width="5" style="388" customWidth="1"/>
    <col min="1554" max="1554" width="8" style="388" customWidth="1"/>
    <col min="1555" max="1792" width="11.5703125" style="388"/>
    <col min="1793" max="1793" width="7.42578125" style="388" customWidth="1"/>
    <col min="1794" max="1794" width="14.42578125" style="388" customWidth="1"/>
    <col min="1795" max="1795" width="19.7109375" style="388" customWidth="1"/>
    <col min="1796" max="1796" width="16.28515625" style="388" customWidth="1"/>
    <col min="1797" max="1797" width="16.5703125" style="388" customWidth="1"/>
    <col min="1798" max="1798" width="22" style="388" customWidth="1"/>
    <col min="1799" max="1799" width="17.7109375" style="388" customWidth="1"/>
    <col min="1800" max="1800" width="14.7109375" style="388" customWidth="1"/>
    <col min="1801" max="1801" width="15" style="388" customWidth="1"/>
    <col min="1802" max="1802" width="15.7109375" style="388" customWidth="1"/>
    <col min="1803" max="1803" width="9.28515625" style="388" customWidth="1"/>
    <col min="1804" max="1804" width="10" style="388" customWidth="1"/>
    <col min="1805" max="1805" width="13.7109375" style="388" customWidth="1"/>
    <col min="1806" max="1806" width="10.7109375" style="388" customWidth="1"/>
    <col min="1807" max="1807" width="6" style="388" customWidth="1"/>
    <col min="1808" max="1809" width="5" style="388" customWidth="1"/>
    <col min="1810" max="1810" width="8" style="388" customWidth="1"/>
    <col min="1811" max="2048" width="11.5703125" style="388"/>
    <col min="2049" max="2049" width="7.42578125" style="388" customWidth="1"/>
    <col min="2050" max="2050" width="14.42578125" style="388" customWidth="1"/>
    <col min="2051" max="2051" width="19.7109375" style="388" customWidth="1"/>
    <col min="2052" max="2052" width="16.28515625" style="388" customWidth="1"/>
    <col min="2053" max="2053" width="16.5703125" style="388" customWidth="1"/>
    <col min="2054" max="2054" width="22" style="388" customWidth="1"/>
    <col min="2055" max="2055" width="17.7109375" style="388" customWidth="1"/>
    <col min="2056" max="2056" width="14.7109375" style="388" customWidth="1"/>
    <col min="2057" max="2057" width="15" style="388" customWidth="1"/>
    <col min="2058" max="2058" width="15.7109375" style="388" customWidth="1"/>
    <col min="2059" max="2059" width="9.28515625" style="388" customWidth="1"/>
    <col min="2060" max="2060" width="10" style="388" customWidth="1"/>
    <col min="2061" max="2061" width="13.7109375" style="388" customWidth="1"/>
    <col min="2062" max="2062" width="10.7109375" style="388" customWidth="1"/>
    <col min="2063" max="2063" width="6" style="388" customWidth="1"/>
    <col min="2064" max="2065" width="5" style="388" customWidth="1"/>
    <col min="2066" max="2066" width="8" style="388" customWidth="1"/>
    <col min="2067" max="2304" width="11.5703125" style="388"/>
    <col min="2305" max="2305" width="7.42578125" style="388" customWidth="1"/>
    <col min="2306" max="2306" width="14.42578125" style="388" customWidth="1"/>
    <col min="2307" max="2307" width="19.7109375" style="388" customWidth="1"/>
    <col min="2308" max="2308" width="16.28515625" style="388" customWidth="1"/>
    <col min="2309" max="2309" width="16.5703125" style="388" customWidth="1"/>
    <col min="2310" max="2310" width="22" style="388" customWidth="1"/>
    <col min="2311" max="2311" width="17.7109375" style="388" customWidth="1"/>
    <col min="2312" max="2312" width="14.7109375" style="388" customWidth="1"/>
    <col min="2313" max="2313" width="15" style="388" customWidth="1"/>
    <col min="2314" max="2314" width="15.7109375" style="388" customWidth="1"/>
    <col min="2315" max="2315" width="9.28515625" style="388" customWidth="1"/>
    <col min="2316" max="2316" width="10" style="388" customWidth="1"/>
    <col min="2317" max="2317" width="13.7109375" style="388" customWidth="1"/>
    <col min="2318" max="2318" width="10.7109375" style="388" customWidth="1"/>
    <col min="2319" max="2319" width="6" style="388" customWidth="1"/>
    <col min="2320" max="2321" width="5" style="388" customWidth="1"/>
    <col min="2322" max="2322" width="8" style="388" customWidth="1"/>
    <col min="2323" max="2560" width="11.5703125" style="388"/>
    <col min="2561" max="2561" width="7.42578125" style="388" customWidth="1"/>
    <col min="2562" max="2562" width="14.42578125" style="388" customWidth="1"/>
    <col min="2563" max="2563" width="19.7109375" style="388" customWidth="1"/>
    <col min="2564" max="2564" width="16.28515625" style="388" customWidth="1"/>
    <col min="2565" max="2565" width="16.5703125" style="388" customWidth="1"/>
    <col min="2566" max="2566" width="22" style="388" customWidth="1"/>
    <col min="2567" max="2567" width="17.7109375" style="388" customWidth="1"/>
    <col min="2568" max="2568" width="14.7109375" style="388" customWidth="1"/>
    <col min="2569" max="2569" width="15" style="388" customWidth="1"/>
    <col min="2570" max="2570" width="15.7109375" style="388" customWidth="1"/>
    <col min="2571" max="2571" width="9.28515625" style="388" customWidth="1"/>
    <col min="2572" max="2572" width="10" style="388" customWidth="1"/>
    <col min="2573" max="2573" width="13.7109375" style="388" customWidth="1"/>
    <col min="2574" max="2574" width="10.7109375" style="388" customWidth="1"/>
    <col min="2575" max="2575" width="6" style="388" customWidth="1"/>
    <col min="2576" max="2577" width="5" style="388" customWidth="1"/>
    <col min="2578" max="2578" width="8" style="388" customWidth="1"/>
    <col min="2579" max="2816" width="11.5703125" style="388"/>
    <col min="2817" max="2817" width="7.42578125" style="388" customWidth="1"/>
    <col min="2818" max="2818" width="14.42578125" style="388" customWidth="1"/>
    <col min="2819" max="2819" width="19.7109375" style="388" customWidth="1"/>
    <col min="2820" max="2820" width="16.28515625" style="388" customWidth="1"/>
    <col min="2821" max="2821" width="16.5703125" style="388" customWidth="1"/>
    <col min="2822" max="2822" width="22" style="388" customWidth="1"/>
    <col min="2823" max="2823" width="17.7109375" style="388" customWidth="1"/>
    <col min="2824" max="2824" width="14.7109375" style="388" customWidth="1"/>
    <col min="2825" max="2825" width="15" style="388" customWidth="1"/>
    <col min="2826" max="2826" width="15.7109375" style="388" customWidth="1"/>
    <col min="2827" max="2827" width="9.28515625" style="388" customWidth="1"/>
    <col min="2828" max="2828" width="10" style="388" customWidth="1"/>
    <col min="2829" max="2829" width="13.7109375" style="388" customWidth="1"/>
    <col min="2830" max="2830" width="10.7109375" style="388" customWidth="1"/>
    <col min="2831" max="2831" width="6" style="388" customWidth="1"/>
    <col min="2832" max="2833" width="5" style="388" customWidth="1"/>
    <col min="2834" max="2834" width="8" style="388" customWidth="1"/>
    <col min="2835" max="3072" width="11.5703125" style="388"/>
    <col min="3073" max="3073" width="7.42578125" style="388" customWidth="1"/>
    <col min="3074" max="3074" width="14.42578125" style="388" customWidth="1"/>
    <col min="3075" max="3075" width="19.7109375" style="388" customWidth="1"/>
    <col min="3076" max="3076" width="16.28515625" style="388" customWidth="1"/>
    <col min="3077" max="3077" width="16.5703125" style="388" customWidth="1"/>
    <col min="3078" max="3078" width="22" style="388" customWidth="1"/>
    <col min="3079" max="3079" width="17.7109375" style="388" customWidth="1"/>
    <col min="3080" max="3080" width="14.7109375" style="388" customWidth="1"/>
    <col min="3081" max="3081" width="15" style="388" customWidth="1"/>
    <col min="3082" max="3082" width="15.7109375" style="388" customWidth="1"/>
    <col min="3083" max="3083" width="9.28515625" style="388" customWidth="1"/>
    <col min="3084" max="3084" width="10" style="388" customWidth="1"/>
    <col min="3085" max="3085" width="13.7109375" style="388" customWidth="1"/>
    <col min="3086" max="3086" width="10.7109375" style="388" customWidth="1"/>
    <col min="3087" max="3087" width="6" style="388" customWidth="1"/>
    <col min="3088" max="3089" width="5" style="388" customWidth="1"/>
    <col min="3090" max="3090" width="8" style="388" customWidth="1"/>
    <col min="3091" max="3328" width="11.5703125" style="388"/>
    <col min="3329" max="3329" width="7.42578125" style="388" customWidth="1"/>
    <col min="3330" max="3330" width="14.42578125" style="388" customWidth="1"/>
    <col min="3331" max="3331" width="19.7109375" style="388" customWidth="1"/>
    <col min="3332" max="3332" width="16.28515625" style="388" customWidth="1"/>
    <col min="3333" max="3333" width="16.5703125" style="388" customWidth="1"/>
    <col min="3334" max="3334" width="22" style="388" customWidth="1"/>
    <col min="3335" max="3335" width="17.7109375" style="388" customWidth="1"/>
    <col min="3336" max="3336" width="14.7109375" style="388" customWidth="1"/>
    <col min="3337" max="3337" width="15" style="388" customWidth="1"/>
    <col min="3338" max="3338" width="15.7109375" style="388" customWidth="1"/>
    <col min="3339" max="3339" width="9.28515625" style="388" customWidth="1"/>
    <col min="3340" max="3340" width="10" style="388" customWidth="1"/>
    <col min="3341" max="3341" width="13.7109375" style="388" customWidth="1"/>
    <col min="3342" max="3342" width="10.7109375" style="388" customWidth="1"/>
    <col min="3343" max="3343" width="6" style="388" customWidth="1"/>
    <col min="3344" max="3345" width="5" style="388" customWidth="1"/>
    <col min="3346" max="3346" width="8" style="388" customWidth="1"/>
    <col min="3347" max="3584" width="11.5703125" style="388"/>
    <col min="3585" max="3585" width="7.42578125" style="388" customWidth="1"/>
    <col min="3586" max="3586" width="14.42578125" style="388" customWidth="1"/>
    <col min="3587" max="3587" width="19.7109375" style="388" customWidth="1"/>
    <col min="3588" max="3588" width="16.28515625" style="388" customWidth="1"/>
    <col min="3589" max="3589" width="16.5703125" style="388" customWidth="1"/>
    <col min="3590" max="3590" width="22" style="388" customWidth="1"/>
    <col min="3591" max="3591" width="17.7109375" style="388" customWidth="1"/>
    <col min="3592" max="3592" width="14.7109375" style="388" customWidth="1"/>
    <col min="3593" max="3593" width="15" style="388" customWidth="1"/>
    <col min="3594" max="3594" width="15.7109375" style="388" customWidth="1"/>
    <col min="3595" max="3595" width="9.28515625" style="388" customWidth="1"/>
    <col min="3596" max="3596" width="10" style="388" customWidth="1"/>
    <col min="3597" max="3597" width="13.7109375" style="388" customWidth="1"/>
    <col min="3598" max="3598" width="10.7109375" style="388" customWidth="1"/>
    <col min="3599" max="3599" width="6" style="388" customWidth="1"/>
    <col min="3600" max="3601" width="5" style="388" customWidth="1"/>
    <col min="3602" max="3602" width="8" style="388" customWidth="1"/>
    <col min="3603" max="3840" width="11.5703125" style="388"/>
    <col min="3841" max="3841" width="7.42578125" style="388" customWidth="1"/>
    <col min="3842" max="3842" width="14.42578125" style="388" customWidth="1"/>
    <col min="3843" max="3843" width="19.7109375" style="388" customWidth="1"/>
    <col min="3844" max="3844" width="16.28515625" style="388" customWidth="1"/>
    <col min="3845" max="3845" width="16.5703125" style="388" customWidth="1"/>
    <col min="3846" max="3846" width="22" style="388" customWidth="1"/>
    <col min="3847" max="3847" width="17.7109375" style="388" customWidth="1"/>
    <col min="3848" max="3848" width="14.7109375" style="388" customWidth="1"/>
    <col min="3849" max="3849" width="15" style="388" customWidth="1"/>
    <col min="3850" max="3850" width="15.7109375" style="388" customWidth="1"/>
    <col min="3851" max="3851" width="9.28515625" style="388" customWidth="1"/>
    <col min="3852" max="3852" width="10" style="388" customWidth="1"/>
    <col min="3853" max="3853" width="13.7109375" style="388" customWidth="1"/>
    <col min="3854" max="3854" width="10.7109375" style="388" customWidth="1"/>
    <col min="3855" max="3855" width="6" style="388" customWidth="1"/>
    <col min="3856" max="3857" width="5" style="388" customWidth="1"/>
    <col min="3858" max="3858" width="8" style="388" customWidth="1"/>
    <col min="3859" max="4096" width="11.5703125" style="388"/>
    <col min="4097" max="4097" width="7.42578125" style="388" customWidth="1"/>
    <col min="4098" max="4098" width="14.42578125" style="388" customWidth="1"/>
    <col min="4099" max="4099" width="19.7109375" style="388" customWidth="1"/>
    <col min="4100" max="4100" width="16.28515625" style="388" customWidth="1"/>
    <col min="4101" max="4101" width="16.5703125" style="388" customWidth="1"/>
    <col min="4102" max="4102" width="22" style="388" customWidth="1"/>
    <col min="4103" max="4103" width="17.7109375" style="388" customWidth="1"/>
    <col min="4104" max="4104" width="14.7109375" style="388" customWidth="1"/>
    <col min="4105" max="4105" width="15" style="388" customWidth="1"/>
    <col min="4106" max="4106" width="15.7109375" style="388" customWidth="1"/>
    <col min="4107" max="4107" width="9.28515625" style="388" customWidth="1"/>
    <col min="4108" max="4108" width="10" style="388" customWidth="1"/>
    <col min="4109" max="4109" width="13.7109375" style="388" customWidth="1"/>
    <col min="4110" max="4110" width="10.7109375" style="388" customWidth="1"/>
    <col min="4111" max="4111" width="6" style="388" customWidth="1"/>
    <col min="4112" max="4113" width="5" style="388" customWidth="1"/>
    <col min="4114" max="4114" width="8" style="388" customWidth="1"/>
    <col min="4115" max="4352" width="11.5703125" style="388"/>
    <col min="4353" max="4353" width="7.42578125" style="388" customWidth="1"/>
    <col min="4354" max="4354" width="14.42578125" style="388" customWidth="1"/>
    <col min="4355" max="4355" width="19.7109375" style="388" customWidth="1"/>
    <col min="4356" max="4356" width="16.28515625" style="388" customWidth="1"/>
    <col min="4357" max="4357" width="16.5703125" style="388" customWidth="1"/>
    <col min="4358" max="4358" width="22" style="388" customWidth="1"/>
    <col min="4359" max="4359" width="17.7109375" style="388" customWidth="1"/>
    <col min="4360" max="4360" width="14.7109375" style="388" customWidth="1"/>
    <col min="4361" max="4361" width="15" style="388" customWidth="1"/>
    <col min="4362" max="4362" width="15.7109375" style="388" customWidth="1"/>
    <col min="4363" max="4363" width="9.28515625" style="388" customWidth="1"/>
    <col min="4364" max="4364" width="10" style="388" customWidth="1"/>
    <col min="4365" max="4365" width="13.7109375" style="388" customWidth="1"/>
    <col min="4366" max="4366" width="10.7109375" style="388" customWidth="1"/>
    <col min="4367" max="4367" width="6" style="388" customWidth="1"/>
    <col min="4368" max="4369" width="5" style="388" customWidth="1"/>
    <col min="4370" max="4370" width="8" style="388" customWidth="1"/>
    <col min="4371" max="4608" width="11.5703125" style="388"/>
    <col min="4609" max="4609" width="7.42578125" style="388" customWidth="1"/>
    <col min="4610" max="4610" width="14.42578125" style="388" customWidth="1"/>
    <col min="4611" max="4611" width="19.7109375" style="388" customWidth="1"/>
    <col min="4612" max="4612" width="16.28515625" style="388" customWidth="1"/>
    <col min="4613" max="4613" width="16.5703125" style="388" customWidth="1"/>
    <col min="4614" max="4614" width="22" style="388" customWidth="1"/>
    <col min="4615" max="4615" width="17.7109375" style="388" customWidth="1"/>
    <col min="4616" max="4616" width="14.7109375" style="388" customWidth="1"/>
    <col min="4617" max="4617" width="15" style="388" customWidth="1"/>
    <col min="4618" max="4618" width="15.7109375" style="388" customWidth="1"/>
    <col min="4619" max="4619" width="9.28515625" style="388" customWidth="1"/>
    <col min="4620" max="4620" width="10" style="388" customWidth="1"/>
    <col min="4621" max="4621" width="13.7109375" style="388" customWidth="1"/>
    <col min="4622" max="4622" width="10.7109375" style="388" customWidth="1"/>
    <col min="4623" max="4623" width="6" style="388" customWidth="1"/>
    <col min="4624" max="4625" width="5" style="388" customWidth="1"/>
    <col min="4626" max="4626" width="8" style="388" customWidth="1"/>
    <col min="4627" max="4864" width="11.5703125" style="388"/>
    <col min="4865" max="4865" width="7.42578125" style="388" customWidth="1"/>
    <col min="4866" max="4866" width="14.42578125" style="388" customWidth="1"/>
    <col min="4867" max="4867" width="19.7109375" style="388" customWidth="1"/>
    <col min="4868" max="4868" width="16.28515625" style="388" customWidth="1"/>
    <col min="4869" max="4869" width="16.5703125" style="388" customWidth="1"/>
    <col min="4870" max="4870" width="22" style="388" customWidth="1"/>
    <col min="4871" max="4871" width="17.7109375" style="388" customWidth="1"/>
    <col min="4872" max="4872" width="14.7109375" style="388" customWidth="1"/>
    <col min="4873" max="4873" width="15" style="388" customWidth="1"/>
    <col min="4874" max="4874" width="15.7109375" style="388" customWidth="1"/>
    <col min="4875" max="4875" width="9.28515625" style="388" customWidth="1"/>
    <col min="4876" max="4876" width="10" style="388" customWidth="1"/>
    <col min="4877" max="4877" width="13.7109375" style="388" customWidth="1"/>
    <col min="4878" max="4878" width="10.7109375" style="388" customWidth="1"/>
    <col min="4879" max="4879" width="6" style="388" customWidth="1"/>
    <col min="4880" max="4881" width="5" style="388" customWidth="1"/>
    <col min="4882" max="4882" width="8" style="388" customWidth="1"/>
    <col min="4883" max="5120" width="11.5703125" style="388"/>
    <col min="5121" max="5121" width="7.42578125" style="388" customWidth="1"/>
    <col min="5122" max="5122" width="14.42578125" style="388" customWidth="1"/>
    <col min="5123" max="5123" width="19.7109375" style="388" customWidth="1"/>
    <col min="5124" max="5124" width="16.28515625" style="388" customWidth="1"/>
    <col min="5125" max="5125" width="16.5703125" style="388" customWidth="1"/>
    <col min="5126" max="5126" width="22" style="388" customWidth="1"/>
    <col min="5127" max="5127" width="17.7109375" style="388" customWidth="1"/>
    <col min="5128" max="5128" width="14.7109375" style="388" customWidth="1"/>
    <col min="5129" max="5129" width="15" style="388" customWidth="1"/>
    <col min="5130" max="5130" width="15.7109375" style="388" customWidth="1"/>
    <col min="5131" max="5131" width="9.28515625" style="388" customWidth="1"/>
    <col min="5132" max="5132" width="10" style="388" customWidth="1"/>
    <col min="5133" max="5133" width="13.7109375" style="388" customWidth="1"/>
    <col min="5134" max="5134" width="10.7109375" style="388" customWidth="1"/>
    <col min="5135" max="5135" width="6" style="388" customWidth="1"/>
    <col min="5136" max="5137" width="5" style="388" customWidth="1"/>
    <col min="5138" max="5138" width="8" style="388" customWidth="1"/>
    <col min="5139" max="5376" width="11.5703125" style="388"/>
    <col min="5377" max="5377" width="7.42578125" style="388" customWidth="1"/>
    <col min="5378" max="5378" width="14.42578125" style="388" customWidth="1"/>
    <col min="5379" max="5379" width="19.7109375" style="388" customWidth="1"/>
    <col min="5380" max="5380" width="16.28515625" style="388" customWidth="1"/>
    <col min="5381" max="5381" width="16.5703125" style="388" customWidth="1"/>
    <col min="5382" max="5382" width="22" style="388" customWidth="1"/>
    <col min="5383" max="5383" width="17.7109375" style="388" customWidth="1"/>
    <col min="5384" max="5384" width="14.7109375" style="388" customWidth="1"/>
    <col min="5385" max="5385" width="15" style="388" customWidth="1"/>
    <col min="5386" max="5386" width="15.7109375" style="388" customWidth="1"/>
    <col min="5387" max="5387" width="9.28515625" style="388" customWidth="1"/>
    <col min="5388" max="5388" width="10" style="388" customWidth="1"/>
    <col min="5389" max="5389" width="13.7109375" style="388" customWidth="1"/>
    <col min="5390" max="5390" width="10.7109375" style="388" customWidth="1"/>
    <col min="5391" max="5391" width="6" style="388" customWidth="1"/>
    <col min="5392" max="5393" width="5" style="388" customWidth="1"/>
    <col min="5394" max="5394" width="8" style="388" customWidth="1"/>
    <col min="5395" max="5632" width="11.5703125" style="388"/>
    <col min="5633" max="5633" width="7.42578125" style="388" customWidth="1"/>
    <col min="5634" max="5634" width="14.42578125" style="388" customWidth="1"/>
    <col min="5635" max="5635" width="19.7109375" style="388" customWidth="1"/>
    <col min="5636" max="5636" width="16.28515625" style="388" customWidth="1"/>
    <col min="5637" max="5637" width="16.5703125" style="388" customWidth="1"/>
    <col min="5638" max="5638" width="22" style="388" customWidth="1"/>
    <col min="5639" max="5639" width="17.7109375" style="388" customWidth="1"/>
    <col min="5640" max="5640" width="14.7109375" style="388" customWidth="1"/>
    <col min="5641" max="5641" width="15" style="388" customWidth="1"/>
    <col min="5642" max="5642" width="15.7109375" style="388" customWidth="1"/>
    <col min="5643" max="5643" width="9.28515625" style="388" customWidth="1"/>
    <col min="5644" max="5644" width="10" style="388" customWidth="1"/>
    <col min="5645" max="5645" width="13.7109375" style="388" customWidth="1"/>
    <col min="5646" max="5646" width="10.7109375" style="388" customWidth="1"/>
    <col min="5647" max="5647" width="6" style="388" customWidth="1"/>
    <col min="5648" max="5649" width="5" style="388" customWidth="1"/>
    <col min="5650" max="5650" width="8" style="388" customWidth="1"/>
    <col min="5651" max="5888" width="11.5703125" style="388"/>
    <col min="5889" max="5889" width="7.42578125" style="388" customWidth="1"/>
    <col min="5890" max="5890" width="14.42578125" style="388" customWidth="1"/>
    <col min="5891" max="5891" width="19.7109375" style="388" customWidth="1"/>
    <col min="5892" max="5892" width="16.28515625" style="388" customWidth="1"/>
    <col min="5893" max="5893" width="16.5703125" style="388" customWidth="1"/>
    <col min="5894" max="5894" width="22" style="388" customWidth="1"/>
    <col min="5895" max="5895" width="17.7109375" style="388" customWidth="1"/>
    <col min="5896" max="5896" width="14.7109375" style="388" customWidth="1"/>
    <col min="5897" max="5897" width="15" style="388" customWidth="1"/>
    <col min="5898" max="5898" width="15.7109375" style="388" customWidth="1"/>
    <col min="5899" max="5899" width="9.28515625" style="388" customWidth="1"/>
    <col min="5900" max="5900" width="10" style="388" customWidth="1"/>
    <col min="5901" max="5901" width="13.7109375" style="388" customWidth="1"/>
    <col min="5902" max="5902" width="10.7109375" style="388" customWidth="1"/>
    <col min="5903" max="5903" width="6" style="388" customWidth="1"/>
    <col min="5904" max="5905" width="5" style="388" customWidth="1"/>
    <col min="5906" max="5906" width="8" style="388" customWidth="1"/>
    <col min="5907" max="6144" width="11.5703125" style="388"/>
    <col min="6145" max="6145" width="7.42578125" style="388" customWidth="1"/>
    <col min="6146" max="6146" width="14.42578125" style="388" customWidth="1"/>
    <col min="6147" max="6147" width="19.7109375" style="388" customWidth="1"/>
    <col min="6148" max="6148" width="16.28515625" style="388" customWidth="1"/>
    <col min="6149" max="6149" width="16.5703125" style="388" customWidth="1"/>
    <col min="6150" max="6150" width="22" style="388" customWidth="1"/>
    <col min="6151" max="6151" width="17.7109375" style="388" customWidth="1"/>
    <col min="6152" max="6152" width="14.7109375" style="388" customWidth="1"/>
    <col min="6153" max="6153" width="15" style="388" customWidth="1"/>
    <col min="6154" max="6154" width="15.7109375" style="388" customWidth="1"/>
    <col min="6155" max="6155" width="9.28515625" style="388" customWidth="1"/>
    <col min="6156" max="6156" width="10" style="388" customWidth="1"/>
    <col min="6157" max="6157" width="13.7109375" style="388" customWidth="1"/>
    <col min="6158" max="6158" width="10.7109375" style="388" customWidth="1"/>
    <col min="6159" max="6159" width="6" style="388" customWidth="1"/>
    <col min="6160" max="6161" width="5" style="388" customWidth="1"/>
    <col min="6162" max="6162" width="8" style="388" customWidth="1"/>
    <col min="6163" max="6400" width="11.5703125" style="388"/>
    <col min="6401" max="6401" width="7.42578125" style="388" customWidth="1"/>
    <col min="6402" max="6402" width="14.42578125" style="388" customWidth="1"/>
    <col min="6403" max="6403" width="19.7109375" style="388" customWidth="1"/>
    <col min="6404" max="6404" width="16.28515625" style="388" customWidth="1"/>
    <col min="6405" max="6405" width="16.5703125" style="388" customWidth="1"/>
    <col min="6406" max="6406" width="22" style="388" customWidth="1"/>
    <col min="6407" max="6407" width="17.7109375" style="388" customWidth="1"/>
    <col min="6408" max="6408" width="14.7109375" style="388" customWidth="1"/>
    <col min="6409" max="6409" width="15" style="388" customWidth="1"/>
    <col min="6410" max="6410" width="15.7109375" style="388" customWidth="1"/>
    <col min="6411" max="6411" width="9.28515625" style="388" customWidth="1"/>
    <col min="6412" max="6412" width="10" style="388" customWidth="1"/>
    <col min="6413" max="6413" width="13.7109375" style="388" customWidth="1"/>
    <col min="6414" max="6414" width="10.7109375" style="388" customWidth="1"/>
    <col min="6415" max="6415" width="6" style="388" customWidth="1"/>
    <col min="6416" max="6417" width="5" style="388" customWidth="1"/>
    <col min="6418" max="6418" width="8" style="388" customWidth="1"/>
    <col min="6419" max="6656" width="11.5703125" style="388"/>
    <col min="6657" max="6657" width="7.42578125" style="388" customWidth="1"/>
    <col min="6658" max="6658" width="14.42578125" style="388" customWidth="1"/>
    <col min="6659" max="6659" width="19.7109375" style="388" customWidth="1"/>
    <col min="6660" max="6660" width="16.28515625" style="388" customWidth="1"/>
    <col min="6661" max="6661" width="16.5703125" style="388" customWidth="1"/>
    <col min="6662" max="6662" width="22" style="388" customWidth="1"/>
    <col min="6663" max="6663" width="17.7109375" style="388" customWidth="1"/>
    <col min="6664" max="6664" width="14.7109375" style="388" customWidth="1"/>
    <col min="6665" max="6665" width="15" style="388" customWidth="1"/>
    <col min="6666" max="6666" width="15.7109375" style="388" customWidth="1"/>
    <col min="6667" max="6667" width="9.28515625" style="388" customWidth="1"/>
    <col min="6668" max="6668" width="10" style="388" customWidth="1"/>
    <col min="6669" max="6669" width="13.7109375" style="388" customWidth="1"/>
    <col min="6670" max="6670" width="10.7109375" style="388" customWidth="1"/>
    <col min="6671" max="6671" width="6" style="388" customWidth="1"/>
    <col min="6672" max="6673" width="5" style="388" customWidth="1"/>
    <col min="6674" max="6674" width="8" style="388" customWidth="1"/>
    <col min="6675" max="6912" width="11.5703125" style="388"/>
    <col min="6913" max="6913" width="7.42578125" style="388" customWidth="1"/>
    <col min="6914" max="6914" width="14.42578125" style="388" customWidth="1"/>
    <col min="6915" max="6915" width="19.7109375" style="388" customWidth="1"/>
    <col min="6916" max="6916" width="16.28515625" style="388" customWidth="1"/>
    <col min="6917" max="6917" width="16.5703125" style="388" customWidth="1"/>
    <col min="6918" max="6918" width="22" style="388" customWidth="1"/>
    <col min="6919" max="6919" width="17.7109375" style="388" customWidth="1"/>
    <col min="6920" max="6920" width="14.7109375" style="388" customWidth="1"/>
    <col min="6921" max="6921" width="15" style="388" customWidth="1"/>
    <col min="6922" max="6922" width="15.7109375" style="388" customWidth="1"/>
    <col min="6923" max="6923" width="9.28515625" style="388" customWidth="1"/>
    <col min="6924" max="6924" width="10" style="388" customWidth="1"/>
    <col min="6925" max="6925" width="13.7109375" style="388" customWidth="1"/>
    <col min="6926" max="6926" width="10.7109375" style="388" customWidth="1"/>
    <col min="6927" max="6927" width="6" style="388" customWidth="1"/>
    <col min="6928" max="6929" width="5" style="388" customWidth="1"/>
    <col min="6930" max="6930" width="8" style="388" customWidth="1"/>
    <col min="6931" max="7168" width="11.5703125" style="388"/>
    <col min="7169" max="7169" width="7.42578125" style="388" customWidth="1"/>
    <col min="7170" max="7170" width="14.42578125" style="388" customWidth="1"/>
    <col min="7171" max="7171" width="19.7109375" style="388" customWidth="1"/>
    <col min="7172" max="7172" width="16.28515625" style="388" customWidth="1"/>
    <col min="7173" max="7173" width="16.5703125" style="388" customWidth="1"/>
    <col min="7174" max="7174" width="22" style="388" customWidth="1"/>
    <col min="7175" max="7175" width="17.7109375" style="388" customWidth="1"/>
    <col min="7176" max="7176" width="14.7109375" style="388" customWidth="1"/>
    <col min="7177" max="7177" width="15" style="388" customWidth="1"/>
    <col min="7178" max="7178" width="15.7109375" style="388" customWidth="1"/>
    <col min="7179" max="7179" width="9.28515625" style="388" customWidth="1"/>
    <col min="7180" max="7180" width="10" style="388" customWidth="1"/>
    <col min="7181" max="7181" width="13.7109375" style="388" customWidth="1"/>
    <col min="7182" max="7182" width="10.7109375" style="388" customWidth="1"/>
    <col min="7183" max="7183" width="6" style="388" customWidth="1"/>
    <col min="7184" max="7185" width="5" style="388" customWidth="1"/>
    <col min="7186" max="7186" width="8" style="388" customWidth="1"/>
    <col min="7187" max="7424" width="11.5703125" style="388"/>
    <col min="7425" max="7425" width="7.42578125" style="388" customWidth="1"/>
    <col min="7426" max="7426" width="14.42578125" style="388" customWidth="1"/>
    <col min="7427" max="7427" width="19.7109375" style="388" customWidth="1"/>
    <col min="7428" max="7428" width="16.28515625" style="388" customWidth="1"/>
    <col min="7429" max="7429" width="16.5703125" style="388" customWidth="1"/>
    <col min="7430" max="7430" width="22" style="388" customWidth="1"/>
    <col min="7431" max="7431" width="17.7109375" style="388" customWidth="1"/>
    <col min="7432" max="7432" width="14.7109375" style="388" customWidth="1"/>
    <col min="7433" max="7433" width="15" style="388" customWidth="1"/>
    <col min="7434" max="7434" width="15.7109375" style="388" customWidth="1"/>
    <col min="7435" max="7435" width="9.28515625" style="388" customWidth="1"/>
    <col min="7436" max="7436" width="10" style="388" customWidth="1"/>
    <col min="7437" max="7437" width="13.7109375" style="388" customWidth="1"/>
    <col min="7438" max="7438" width="10.7109375" style="388" customWidth="1"/>
    <col min="7439" max="7439" width="6" style="388" customWidth="1"/>
    <col min="7440" max="7441" width="5" style="388" customWidth="1"/>
    <col min="7442" max="7442" width="8" style="388" customWidth="1"/>
    <col min="7443" max="7680" width="11.5703125" style="388"/>
    <col min="7681" max="7681" width="7.42578125" style="388" customWidth="1"/>
    <col min="7682" max="7682" width="14.42578125" style="388" customWidth="1"/>
    <col min="7683" max="7683" width="19.7109375" style="388" customWidth="1"/>
    <col min="7684" max="7684" width="16.28515625" style="388" customWidth="1"/>
    <col min="7685" max="7685" width="16.5703125" style="388" customWidth="1"/>
    <col min="7686" max="7686" width="22" style="388" customWidth="1"/>
    <col min="7687" max="7687" width="17.7109375" style="388" customWidth="1"/>
    <col min="7688" max="7688" width="14.7109375" style="388" customWidth="1"/>
    <col min="7689" max="7689" width="15" style="388" customWidth="1"/>
    <col min="7690" max="7690" width="15.7109375" style="388" customWidth="1"/>
    <col min="7691" max="7691" width="9.28515625" style="388" customWidth="1"/>
    <col min="7692" max="7692" width="10" style="388" customWidth="1"/>
    <col min="7693" max="7693" width="13.7109375" style="388" customWidth="1"/>
    <col min="7694" max="7694" width="10.7109375" style="388" customWidth="1"/>
    <col min="7695" max="7695" width="6" style="388" customWidth="1"/>
    <col min="7696" max="7697" width="5" style="388" customWidth="1"/>
    <col min="7698" max="7698" width="8" style="388" customWidth="1"/>
    <col min="7699" max="7936" width="11.5703125" style="388"/>
    <col min="7937" max="7937" width="7.42578125" style="388" customWidth="1"/>
    <col min="7938" max="7938" width="14.42578125" style="388" customWidth="1"/>
    <col min="7939" max="7939" width="19.7109375" style="388" customWidth="1"/>
    <col min="7940" max="7940" width="16.28515625" style="388" customWidth="1"/>
    <col min="7941" max="7941" width="16.5703125" style="388" customWidth="1"/>
    <col min="7942" max="7942" width="22" style="388" customWidth="1"/>
    <col min="7943" max="7943" width="17.7109375" style="388" customWidth="1"/>
    <col min="7944" max="7944" width="14.7109375" style="388" customWidth="1"/>
    <col min="7945" max="7945" width="15" style="388" customWidth="1"/>
    <col min="7946" max="7946" width="15.7109375" style="388" customWidth="1"/>
    <col min="7947" max="7947" width="9.28515625" style="388" customWidth="1"/>
    <col min="7948" max="7948" width="10" style="388" customWidth="1"/>
    <col min="7949" max="7949" width="13.7109375" style="388" customWidth="1"/>
    <col min="7950" max="7950" width="10.7109375" style="388" customWidth="1"/>
    <col min="7951" max="7951" width="6" style="388" customWidth="1"/>
    <col min="7952" max="7953" width="5" style="388" customWidth="1"/>
    <col min="7954" max="7954" width="8" style="388" customWidth="1"/>
    <col min="7955" max="8192" width="11.5703125" style="388"/>
    <col min="8193" max="8193" width="7.42578125" style="388" customWidth="1"/>
    <col min="8194" max="8194" width="14.42578125" style="388" customWidth="1"/>
    <col min="8195" max="8195" width="19.7109375" style="388" customWidth="1"/>
    <col min="8196" max="8196" width="16.28515625" style="388" customWidth="1"/>
    <col min="8197" max="8197" width="16.5703125" style="388" customWidth="1"/>
    <col min="8198" max="8198" width="22" style="388" customWidth="1"/>
    <col min="8199" max="8199" width="17.7109375" style="388" customWidth="1"/>
    <col min="8200" max="8200" width="14.7109375" style="388" customWidth="1"/>
    <col min="8201" max="8201" width="15" style="388" customWidth="1"/>
    <col min="8202" max="8202" width="15.7109375" style="388" customWidth="1"/>
    <col min="8203" max="8203" width="9.28515625" style="388" customWidth="1"/>
    <col min="8204" max="8204" width="10" style="388" customWidth="1"/>
    <col min="8205" max="8205" width="13.7109375" style="388" customWidth="1"/>
    <col min="8206" max="8206" width="10.7109375" style="388" customWidth="1"/>
    <col min="8207" max="8207" width="6" style="388" customWidth="1"/>
    <col min="8208" max="8209" width="5" style="388" customWidth="1"/>
    <col min="8210" max="8210" width="8" style="388" customWidth="1"/>
    <col min="8211" max="8448" width="11.5703125" style="388"/>
    <col min="8449" max="8449" width="7.42578125" style="388" customWidth="1"/>
    <col min="8450" max="8450" width="14.42578125" style="388" customWidth="1"/>
    <col min="8451" max="8451" width="19.7109375" style="388" customWidth="1"/>
    <col min="8452" max="8452" width="16.28515625" style="388" customWidth="1"/>
    <col min="8453" max="8453" width="16.5703125" style="388" customWidth="1"/>
    <col min="8454" max="8454" width="22" style="388" customWidth="1"/>
    <col min="8455" max="8455" width="17.7109375" style="388" customWidth="1"/>
    <col min="8456" max="8456" width="14.7109375" style="388" customWidth="1"/>
    <col min="8457" max="8457" width="15" style="388" customWidth="1"/>
    <col min="8458" max="8458" width="15.7109375" style="388" customWidth="1"/>
    <col min="8459" max="8459" width="9.28515625" style="388" customWidth="1"/>
    <col min="8460" max="8460" width="10" style="388" customWidth="1"/>
    <col min="8461" max="8461" width="13.7109375" style="388" customWidth="1"/>
    <col min="8462" max="8462" width="10.7109375" style="388" customWidth="1"/>
    <col min="8463" max="8463" width="6" style="388" customWidth="1"/>
    <col min="8464" max="8465" width="5" style="388" customWidth="1"/>
    <col min="8466" max="8466" width="8" style="388" customWidth="1"/>
    <col min="8467" max="8704" width="11.5703125" style="388"/>
    <col min="8705" max="8705" width="7.42578125" style="388" customWidth="1"/>
    <col min="8706" max="8706" width="14.42578125" style="388" customWidth="1"/>
    <col min="8707" max="8707" width="19.7109375" style="388" customWidth="1"/>
    <col min="8708" max="8708" width="16.28515625" style="388" customWidth="1"/>
    <col min="8709" max="8709" width="16.5703125" style="388" customWidth="1"/>
    <col min="8710" max="8710" width="22" style="388" customWidth="1"/>
    <col min="8711" max="8711" width="17.7109375" style="388" customWidth="1"/>
    <col min="8712" max="8712" width="14.7109375" style="388" customWidth="1"/>
    <col min="8713" max="8713" width="15" style="388" customWidth="1"/>
    <col min="8714" max="8714" width="15.7109375" style="388" customWidth="1"/>
    <col min="8715" max="8715" width="9.28515625" style="388" customWidth="1"/>
    <col min="8716" max="8716" width="10" style="388" customWidth="1"/>
    <col min="8717" max="8717" width="13.7109375" style="388" customWidth="1"/>
    <col min="8718" max="8718" width="10.7109375" style="388" customWidth="1"/>
    <col min="8719" max="8719" width="6" style="388" customWidth="1"/>
    <col min="8720" max="8721" width="5" style="388" customWidth="1"/>
    <col min="8722" max="8722" width="8" style="388" customWidth="1"/>
    <col min="8723" max="8960" width="11.5703125" style="388"/>
    <col min="8961" max="8961" width="7.42578125" style="388" customWidth="1"/>
    <col min="8962" max="8962" width="14.42578125" style="388" customWidth="1"/>
    <col min="8963" max="8963" width="19.7109375" style="388" customWidth="1"/>
    <col min="8964" max="8964" width="16.28515625" style="388" customWidth="1"/>
    <col min="8965" max="8965" width="16.5703125" style="388" customWidth="1"/>
    <col min="8966" max="8966" width="22" style="388" customWidth="1"/>
    <col min="8967" max="8967" width="17.7109375" style="388" customWidth="1"/>
    <col min="8968" max="8968" width="14.7109375" style="388" customWidth="1"/>
    <col min="8969" max="8969" width="15" style="388" customWidth="1"/>
    <col min="8970" max="8970" width="15.7109375" style="388" customWidth="1"/>
    <col min="8971" max="8971" width="9.28515625" style="388" customWidth="1"/>
    <col min="8972" max="8972" width="10" style="388" customWidth="1"/>
    <col min="8973" max="8973" width="13.7109375" style="388" customWidth="1"/>
    <col min="8974" max="8974" width="10.7109375" style="388" customWidth="1"/>
    <col min="8975" max="8975" width="6" style="388" customWidth="1"/>
    <col min="8976" max="8977" width="5" style="388" customWidth="1"/>
    <col min="8978" max="8978" width="8" style="388" customWidth="1"/>
    <col min="8979" max="9216" width="11.5703125" style="388"/>
    <col min="9217" max="9217" width="7.42578125" style="388" customWidth="1"/>
    <col min="9218" max="9218" width="14.42578125" style="388" customWidth="1"/>
    <col min="9219" max="9219" width="19.7109375" style="388" customWidth="1"/>
    <col min="9220" max="9220" width="16.28515625" style="388" customWidth="1"/>
    <col min="9221" max="9221" width="16.5703125" style="388" customWidth="1"/>
    <col min="9222" max="9222" width="22" style="388" customWidth="1"/>
    <col min="9223" max="9223" width="17.7109375" style="388" customWidth="1"/>
    <col min="9224" max="9224" width="14.7109375" style="388" customWidth="1"/>
    <col min="9225" max="9225" width="15" style="388" customWidth="1"/>
    <col min="9226" max="9226" width="15.7109375" style="388" customWidth="1"/>
    <col min="9227" max="9227" width="9.28515625" style="388" customWidth="1"/>
    <col min="9228" max="9228" width="10" style="388" customWidth="1"/>
    <col min="9229" max="9229" width="13.7109375" style="388" customWidth="1"/>
    <col min="9230" max="9230" width="10.7109375" style="388" customWidth="1"/>
    <col min="9231" max="9231" width="6" style="388" customWidth="1"/>
    <col min="9232" max="9233" width="5" style="388" customWidth="1"/>
    <col min="9234" max="9234" width="8" style="388" customWidth="1"/>
    <col min="9235" max="9472" width="11.5703125" style="388"/>
    <col min="9473" max="9473" width="7.42578125" style="388" customWidth="1"/>
    <col min="9474" max="9474" width="14.42578125" style="388" customWidth="1"/>
    <col min="9475" max="9475" width="19.7109375" style="388" customWidth="1"/>
    <col min="9476" max="9476" width="16.28515625" style="388" customWidth="1"/>
    <col min="9477" max="9477" width="16.5703125" style="388" customWidth="1"/>
    <col min="9478" max="9478" width="22" style="388" customWidth="1"/>
    <col min="9479" max="9479" width="17.7109375" style="388" customWidth="1"/>
    <col min="9480" max="9480" width="14.7109375" style="388" customWidth="1"/>
    <col min="9481" max="9481" width="15" style="388" customWidth="1"/>
    <col min="9482" max="9482" width="15.7109375" style="388" customWidth="1"/>
    <col min="9483" max="9483" width="9.28515625" style="388" customWidth="1"/>
    <col min="9484" max="9484" width="10" style="388" customWidth="1"/>
    <col min="9485" max="9485" width="13.7109375" style="388" customWidth="1"/>
    <col min="9486" max="9486" width="10.7109375" style="388" customWidth="1"/>
    <col min="9487" max="9487" width="6" style="388" customWidth="1"/>
    <col min="9488" max="9489" width="5" style="388" customWidth="1"/>
    <col min="9490" max="9490" width="8" style="388" customWidth="1"/>
    <col min="9491" max="9728" width="11.5703125" style="388"/>
    <col min="9729" max="9729" width="7.42578125" style="388" customWidth="1"/>
    <col min="9730" max="9730" width="14.42578125" style="388" customWidth="1"/>
    <col min="9731" max="9731" width="19.7109375" style="388" customWidth="1"/>
    <col min="9732" max="9732" width="16.28515625" style="388" customWidth="1"/>
    <col min="9733" max="9733" width="16.5703125" style="388" customWidth="1"/>
    <col min="9734" max="9734" width="22" style="388" customWidth="1"/>
    <col min="9735" max="9735" width="17.7109375" style="388" customWidth="1"/>
    <col min="9736" max="9736" width="14.7109375" style="388" customWidth="1"/>
    <col min="9737" max="9737" width="15" style="388" customWidth="1"/>
    <col min="9738" max="9738" width="15.7109375" style="388" customWidth="1"/>
    <col min="9739" max="9739" width="9.28515625" style="388" customWidth="1"/>
    <col min="9740" max="9740" width="10" style="388" customWidth="1"/>
    <col min="9741" max="9741" width="13.7109375" style="388" customWidth="1"/>
    <col min="9742" max="9742" width="10.7109375" style="388" customWidth="1"/>
    <col min="9743" max="9743" width="6" style="388" customWidth="1"/>
    <col min="9744" max="9745" width="5" style="388" customWidth="1"/>
    <col min="9746" max="9746" width="8" style="388" customWidth="1"/>
    <col min="9747" max="9984" width="11.5703125" style="388"/>
    <col min="9985" max="9985" width="7.42578125" style="388" customWidth="1"/>
    <col min="9986" max="9986" width="14.42578125" style="388" customWidth="1"/>
    <col min="9987" max="9987" width="19.7109375" style="388" customWidth="1"/>
    <col min="9988" max="9988" width="16.28515625" style="388" customWidth="1"/>
    <col min="9989" max="9989" width="16.5703125" style="388" customWidth="1"/>
    <col min="9990" max="9990" width="22" style="388" customWidth="1"/>
    <col min="9991" max="9991" width="17.7109375" style="388" customWidth="1"/>
    <col min="9992" max="9992" width="14.7109375" style="388" customWidth="1"/>
    <col min="9993" max="9993" width="15" style="388" customWidth="1"/>
    <col min="9994" max="9994" width="15.7109375" style="388" customWidth="1"/>
    <col min="9995" max="9995" width="9.28515625" style="388" customWidth="1"/>
    <col min="9996" max="9996" width="10" style="388" customWidth="1"/>
    <col min="9997" max="9997" width="13.7109375" style="388" customWidth="1"/>
    <col min="9998" max="9998" width="10.7109375" style="388" customWidth="1"/>
    <col min="9999" max="9999" width="6" style="388" customWidth="1"/>
    <col min="10000" max="10001" width="5" style="388" customWidth="1"/>
    <col min="10002" max="10002" width="8" style="388" customWidth="1"/>
    <col min="10003" max="10240" width="11.5703125" style="388"/>
    <col min="10241" max="10241" width="7.42578125" style="388" customWidth="1"/>
    <col min="10242" max="10242" width="14.42578125" style="388" customWidth="1"/>
    <col min="10243" max="10243" width="19.7109375" style="388" customWidth="1"/>
    <col min="10244" max="10244" width="16.28515625" style="388" customWidth="1"/>
    <col min="10245" max="10245" width="16.5703125" style="388" customWidth="1"/>
    <col min="10246" max="10246" width="22" style="388" customWidth="1"/>
    <col min="10247" max="10247" width="17.7109375" style="388" customWidth="1"/>
    <col min="10248" max="10248" width="14.7109375" style="388" customWidth="1"/>
    <col min="10249" max="10249" width="15" style="388" customWidth="1"/>
    <col min="10250" max="10250" width="15.7109375" style="388" customWidth="1"/>
    <col min="10251" max="10251" width="9.28515625" style="388" customWidth="1"/>
    <col min="10252" max="10252" width="10" style="388" customWidth="1"/>
    <col min="10253" max="10253" width="13.7109375" style="388" customWidth="1"/>
    <col min="10254" max="10254" width="10.7109375" style="388" customWidth="1"/>
    <col min="10255" max="10255" width="6" style="388" customWidth="1"/>
    <col min="10256" max="10257" width="5" style="388" customWidth="1"/>
    <col min="10258" max="10258" width="8" style="388" customWidth="1"/>
    <col min="10259" max="10496" width="11.5703125" style="388"/>
    <col min="10497" max="10497" width="7.42578125" style="388" customWidth="1"/>
    <col min="10498" max="10498" width="14.42578125" style="388" customWidth="1"/>
    <col min="10499" max="10499" width="19.7109375" style="388" customWidth="1"/>
    <col min="10500" max="10500" width="16.28515625" style="388" customWidth="1"/>
    <col min="10501" max="10501" width="16.5703125" style="388" customWidth="1"/>
    <col min="10502" max="10502" width="22" style="388" customWidth="1"/>
    <col min="10503" max="10503" width="17.7109375" style="388" customWidth="1"/>
    <col min="10504" max="10504" width="14.7109375" style="388" customWidth="1"/>
    <col min="10505" max="10505" width="15" style="388" customWidth="1"/>
    <col min="10506" max="10506" width="15.7109375" style="388" customWidth="1"/>
    <col min="10507" max="10507" width="9.28515625" style="388" customWidth="1"/>
    <col min="10508" max="10508" width="10" style="388" customWidth="1"/>
    <col min="10509" max="10509" width="13.7109375" style="388" customWidth="1"/>
    <col min="10510" max="10510" width="10.7109375" style="388" customWidth="1"/>
    <col min="10511" max="10511" width="6" style="388" customWidth="1"/>
    <col min="10512" max="10513" width="5" style="388" customWidth="1"/>
    <col min="10514" max="10514" width="8" style="388" customWidth="1"/>
    <col min="10515" max="10752" width="11.5703125" style="388"/>
    <col min="10753" max="10753" width="7.42578125" style="388" customWidth="1"/>
    <col min="10754" max="10754" width="14.42578125" style="388" customWidth="1"/>
    <col min="10755" max="10755" width="19.7109375" style="388" customWidth="1"/>
    <col min="10756" max="10756" width="16.28515625" style="388" customWidth="1"/>
    <col min="10757" max="10757" width="16.5703125" style="388" customWidth="1"/>
    <col min="10758" max="10758" width="22" style="388" customWidth="1"/>
    <col min="10759" max="10759" width="17.7109375" style="388" customWidth="1"/>
    <col min="10760" max="10760" width="14.7109375" style="388" customWidth="1"/>
    <col min="10761" max="10761" width="15" style="388" customWidth="1"/>
    <col min="10762" max="10762" width="15.7109375" style="388" customWidth="1"/>
    <col min="10763" max="10763" width="9.28515625" style="388" customWidth="1"/>
    <col min="10764" max="10764" width="10" style="388" customWidth="1"/>
    <col min="10765" max="10765" width="13.7109375" style="388" customWidth="1"/>
    <col min="10766" max="10766" width="10.7109375" style="388" customWidth="1"/>
    <col min="10767" max="10767" width="6" style="388" customWidth="1"/>
    <col min="10768" max="10769" width="5" style="388" customWidth="1"/>
    <col min="10770" max="10770" width="8" style="388" customWidth="1"/>
    <col min="10771" max="11008" width="11.5703125" style="388"/>
    <col min="11009" max="11009" width="7.42578125" style="388" customWidth="1"/>
    <col min="11010" max="11010" width="14.42578125" style="388" customWidth="1"/>
    <col min="11011" max="11011" width="19.7109375" style="388" customWidth="1"/>
    <col min="11012" max="11012" width="16.28515625" style="388" customWidth="1"/>
    <col min="11013" max="11013" width="16.5703125" style="388" customWidth="1"/>
    <col min="11014" max="11014" width="22" style="388" customWidth="1"/>
    <col min="11015" max="11015" width="17.7109375" style="388" customWidth="1"/>
    <col min="11016" max="11016" width="14.7109375" style="388" customWidth="1"/>
    <col min="11017" max="11017" width="15" style="388" customWidth="1"/>
    <col min="11018" max="11018" width="15.7109375" style="388" customWidth="1"/>
    <col min="11019" max="11019" width="9.28515625" style="388" customWidth="1"/>
    <col min="11020" max="11020" width="10" style="388" customWidth="1"/>
    <col min="11021" max="11021" width="13.7109375" style="388" customWidth="1"/>
    <col min="11022" max="11022" width="10.7109375" style="388" customWidth="1"/>
    <col min="11023" max="11023" width="6" style="388" customWidth="1"/>
    <col min="11024" max="11025" width="5" style="388" customWidth="1"/>
    <col min="11026" max="11026" width="8" style="388" customWidth="1"/>
    <col min="11027" max="11264" width="11.5703125" style="388"/>
    <col min="11265" max="11265" width="7.42578125" style="388" customWidth="1"/>
    <col min="11266" max="11266" width="14.42578125" style="388" customWidth="1"/>
    <col min="11267" max="11267" width="19.7109375" style="388" customWidth="1"/>
    <col min="11268" max="11268" width="16.28515625" style="388" customWidth="1"/>
    <col min="11269" max="11269" width="16.5703125" style="388" customWidth="1"/>
    <col min="11270" max="11270" width="22" style="388" customWidth="1"/>
    <col min="11271" max="11271" width="17.7109375" style="388" customWidth="1"/>
    <col min="11272" max="11272" width="14.7109375" style="388" customWidth="1"/>
    <col min="11273" max="11273" width="15" style="388" customWidth="1"/>
    <col min="11274" max="11274" width="15.7109375" style="388" customWidth="1"/>
    <col min="11275" max="11275" width="9.28515625" style="388" customWidth="1"/>
    <col min="11276" max="11276" width="10" style="388" customWidth="1"/>
    <col min="11277" max="11277" width="13.7109375" style="388" customWidth="1"/>
    <col min="11278" max="11278" width="10.7109375" style="388" customWidth="1"/>
    <col min="11279" max="11279" width="6" style="388" customWidth="1"/>
    <col min="11280" max="11281" width="5" style="388" customWidth="1"/>
    <col min="11282" max="11282" width="8" style="388" customWidth="1"/>
    <col min="11283" max="11520" width="11.5703125" style="388"/>
    <col min="11521" max="11521" width="7.42578125" style="388" customWidth="1"/>
    <col min="11522" max="11522" width="14.42578125" style="388" customWidth="1"/>
    <col min="11523" max="11523" width="19.7109375" style="388" customWidth="1"/>
    <col min="11524" max="11524" width="16.28515625" style="388" customWidth="1"/>
    <col min="11525" max="11525" width="16.5703125" style="388" customWidth="1"/>
    <col min="11526" max="11526" width="22" style="388" customWidth="1"/>
    <col min="11527" max="11527" width="17.7109375" style="388" customWidth="1"/>
    <col min="11528" max="11528" width="14.7109375" style="388" customWidth="1"/>
    <col min="11529" max="11529" width="15" style="388" customWidth="1"/>
    <col min="11530" max="11530" width="15.7109375" style="388" customWidth="1"/>
    <col min="11531" max="11531" width="9.28515625" style="388" customWidth="1"/>
    <col min="11532" max="11532" width="10" style="388" customWidth="1"/>
    <col min="11533" max="11533" width="13.7109375" style="388" customWidth="1"/>
    <col min="11534" max="11534" width="10.7109375" style="388" customWidth="1"/>
    <col min="11535" max="11535" width="6" style="388" customWidth="1"/>
    <col min="11536" max="11537" width="5" style="388" customWidth="1"/>
    <col min="11538" max="11538" width="8" style="388" customWidth="1"/>
    <col min="11539" max="11776" width="11.5703125" style="388"/>
    <col min="11777" max="11777" width="7.42578125" style="388" customWidth="1"/>
    <col min="11778" max="11778" width="14.42578125" style="388" customWidth="1"/>
    <col min="11779" max="11779" width="19.7109375" style="388" customWidth="1"/>
    <col min="11780" max="11780" width="16.28515625" style="388" customWidth="1"/>
    <col min="11781" max="11781" width="16.5703125" style="388" customWidth="1"/>
    <col min="11782" max="11782" width="22" style="388" customWidth="1"/>
    <col min="11783" max="11783" width="17.7109375" style="388" customWidth="1"/>
    <col min="11784" max="11784" width="14.7109375" style="388" customWidth="1"/>
    <col min="11785" max="11785" width="15" style="388" customWidth="1"/>
    <col min="11786" max="11786" width="15.7109375" style="388" customWidth="1"/>
    <col min="11787" max="11787" width="9.28515625" style="388" customWidth="1"/>
    <col min="11788" max="11788" width="10" style="388" customWidth="1"/>
    <col min="11789" max="11789" width="13.7109375" style="388" customWidth="1"/>
    <col min="11790" max="11790" width="10.7109375" style="388" customWidth="1"/>
    <col min="11791" max="11791" width="6" style="388" customWidth="1"/>
    <col min="11792" max="11793" width="5" style="388" customWidth="1"/>
    <col min="11794" max="11794" width="8" style="388" customWidth="1"/>
    <col min="11795" max="12032" width="11.5703125" style="388"/>
    <col min="12033" max="12033" width="7.42578125" style="388" customWidth="1"/>
    <col min="12034" max="12034" width="14.42578125" style="388" customWidth="1"/>
    <col min="12035" max="12035" width="19.7109375" style="388" customWidth="1"/>
    <col min="12036" max="12036" width="16.28515625" style="388" customWidth="1"/>
    <col min="12037" max="12037" width="16.5703125" style="388" customWidth="1"/>
    <col min="12038" max="12038" width="22" style="388" customWidth="1"/>
    <col min="12039" max="12039" width="17.7109375" style="388" customWidth="1"/>
    <col min="12040" max="12040" width="14.7109375" style="388" customWidth="1"/>
    <col min="12041" max="12041" width="15" style="388" customWidth="1"/>
    <col min="12042" max="12042" width="15.7109375" style="388" customWidth="1"/>
    <col min="12043" max="12043" width="9.28515625" style="388" customWidth="1"/>
    <col min="12044" max="12044" width="10" style="388" customWidth="1"/>
    <col min="12045" max="12045" width="13.7109375" style="388" customWidth="1"/>
    <col min="12046" max="12046" width="10.7109375" style="388" customWidth="1"/>
    <col min="12047" max="12047" width="6" style="388" customWidth="1"/>
    <col min="12048" max="12049" width="5" style="388" customWidth="1"/>
    <col min="12050" max="12050" width="8" style="388" customWidth="1"/>
    <col min="12051" max="12288" width="11.5703125" style="388"/>
    <col min="12289" max="12289" width="7.42578125" style="388" customWidth="1"/>
    <col min="12290" max="12290" width="14.42578125" style="388" customWidth="1"/>
    <col min="12291" max="12291" width="19.7109375" style="388" customWidth="1"/>
    <col min="12292" max="12292" width="16.28515625" style="388" customWidth="1"/>
    <col min="12293" max="12293" width="16.5703125" style="388" customWidth="1"/>
    <col min="12294" max="12294" width="22" style="388" customWidth="1"/>
    <col min="12295" max="12295" width="17.7109375" style="388" customWidth="1"/>
    <col min="12296" max="12296" width="14.7109375" style="388" customWidth="1"/>
    <col min="12297" max="12297" width="15" style="388" customWidth="1"/>
    <col min="12298" max="12298" width="15.7109375" style="388" customWidth="1"/>
    <col min="12299" max="12299" width="9.28515625" style="388" customWidth="1"/>
    <col min="12300" max="12300" width="10" style="388" customWidth="1"/>
    <col min="12301" max="12301" width="13.7109375" style="388" customWidth="1"/>
    <col min="12302" max="12302" width="10.7109375" style="388" customWidth="1"/>
    <col min="12303" max="12303" width="6" style="388" customWidth="1"/>
    <col min="12304" max="12305" width="5" style="388" customWidth="1"/>
    <col min="12306" max="12306" width="8" style="388" customWidth="1"/>
    <col min="12307" max="12544" width="11.5703125" style="388"/>
    <col min="12545" max="12545" width="7.42578125" style="388" customWidth="1"/>
    <col min="12546" max="12546" width="14.42578125" style="388" customWidth="1"/>
    <col min="12547" max="12547" width="19.7109375" style="388" customWidth="1"/>
    <col min="12548" max="12548" width="16.28515625" style="388" customWidth="1"/>
    <col min="12549" max="12549" width="16.5703125" style="388" customWidth="1"/>
    <col min="12550" max="12550" width="22" style="388" customWidth="1"/>
    <col min="12551" max="12551" width="17.7109375" style="388" customWidth="1"/>
    <col min="12552" max="12552" width="14.7109375" style="388" customWidth="1"/>
    <col min="12553" max="12553" width="15" style="388" customWidth="1"/>
    <col min="12554" max="12554" width="15.7109375" style="388" customWidth="1"/>
    <col min="12555" max="12555" width="9.28515625" style="388" customWidth="1"/>
    <col min="12556" max="12556" width="10" style="388" customWidth="1"/>
    <col min="12557" max="12557" width="13.7109375" style="388" customWidth="1"/>
    <col min="12558" max="12558" width="10.7109375" style="388" customWidth="1"/>
    <col min="12559" max="12559" width="6" style="388" customWidth="1"/>
    <col min="12560" max="12561" width="5" style="388" customWidth="1"/>
    <col min="12562" max="12562" width="8" style="388" customWidth="1"/>
    <col min="12563" max="12800" width="11.5703125" style="388"/>
    <col min="12801" max="12801" width="7.42578125" style="388" customWidth="1"/>
    <col min="12802" max="12802" width="14.42578125" style="388" customWidth="1"/>
    <col min="12803" max="12803" width="19.7109375" style="388" customWidth="1"/>
    <col min="12804" max="12804" width="16.28515625" style="388" customWidth="1"/>
    <col min="12805" max="12805" width="16.5703125" style="388" customWidth="1"/>
    <col min="12806" max="12806" width="22" style="388" customWidth="1"/>
    <col min="12807" max="12807" width="17.7109375" style="388" customWidth="1"/>
    <col min="12808" max="12808" width="14.7109375" style="388" customWidth="1"/>
    <col min="12809" max="12809" width="15" style="388" customWidth="1"/>
    <col min="12810" max="12810" width="15.7109375" style="388" customWidth="1"/>
    <col min="12811" max="12811" width="9.28515625" style="388" customWidth="1"/>
    <col min="12812" max="12812" width="10" style="388" customWidth="1"/>
    <col min="12813" max="12813" width="13.7109375" style="388" customWidth="1"/>
    <col min="12814" max="12814" width="10.7109375" style="388" customWidth="1"/>
    <col min="12815" max="12815" width="6" style="388" customWidth="1"/>
    <col min="12816" max="12817" width="5" style="388" customWidth="1"/>
    <col min="12818" max="12818" width="8" style="388" customWidth="1"/>
    <col min="12819" max="13056" width="11.5703125" style="388"/>
    <col min="13057" max="13057" width="7.42578125" style="388" customWidth="1"/>
    <col min="13058" max="13058" width="14.42578125" style="388" customWidth="1"/>
    <col min="13059" max="13059" width="19.7109375" style="388" customWidth="1"/>
    <col min="13060" max="13060" width="16.28515625" style="388" customWidth="1"/>
    <col min="13061" max="13061" width="16.5703125" style="388" customWidth="1"/>
    <col min="13062" max="13062" width="22" style="388" customWidth="1"/>
    <col min="13063" max="13063" width="17.7109375" style="388" customWidth="1"/>
    <col min="13064" max="13064" width="14.7109375" style="388" customWidth="1"/>
    <col min="13065" max="13065" width="15" style="388" customWidth="1"/>
    <col min="13066" max="13066" width="15.7109375" style="388" customWidth="1"/>
    <col min="13067" max="13067" width="9.28515625" style="388" customWidth="1"/>
    <col min="13068" max="13068" width="10" style="388" customWidth="1"/>
    <col min="13069" max="13069" width="13.7109375" style="388" customWidth="1"/>
    <col min="13070" max="13070" width="10.7109375" style="388" customWidth="1"/>
    <col min="13071" max="13071" width="6" style="388" customWidth="1"/>
    <col min="13072" max="13073" width="5" style="388" customWidth="1"/>
    <col min="13074" max="13074" width="8" style="388" customWidth="1"/>
    <col min="13075" max="13312" width="11.5703125" style="388"/>
    <col min="13313" max="13313" width="7.42578125" style="388" customWidth="1"/>
    <col min="13314" max="13314" width="14.42578125" style="388" customWidth="1"/>
    <col min="13315" max="13315" width="19.7109375" style="388" customWidth="1"/>
    <col min="13316" max="13316" width="16.28515625" style="388" customWidth="1"/>
    <col min="13317" max="13317" width="16.5703125" style="388" customWidth="1"/>
    <col min="13318" max="13318" width="22" style="388" customWidth="1"/>
    <col min="13319" max="13319" width="17.7109375" style="388" customWidth="1"/>
    <col min="13320" max="13320" width="14.7109375" style="388" customWidth="1"/>
    <col min="13321" max="13321" width="15" style="388" customWidth="1"/>
    <col min="13322" max="13322" width="15.7109375" style="388" customWidth="1"/>
    <col min="13323" max="13323" width="9.28515625" style="388" customWidth="1"/>
    <col min="13324" max="13324" width="10" style="388" customWidth="1"/>
    <col min="13325" max="13325" width="13.7109375" style="388" customWidth="1"/>
    <col min="13326" max="13326" width="10.7109375" style="388" customWidth="1"/>
    <col min="13327" max="13327" width="6" style="388" customWidth="1"/>
    <col min="13328" max="13329" width="5" style="388" customWidth="1"/>
    <col min="13330" max="13330" width="8" style="388" customWidth="1"/>
    <col min="13331" max="13568" width="11.5703125" style="388"/>
    <col min="13569" max="13569" width="7.42578125" style="388" customWidth="1"/>
    <col min="13570" max="13570" width="14.42578125" style="388" customWidth="1"/>
    <col min="13571" max="13571" width="19.7109375" style="388" customWidth="1"/>
    <col min="13572" max="13572" width="16.28515625" style="388" customWidth="1"/>
    <col min="13573" max="13573" width="16.5703125" style="388" customWidth="1"/>
    <col min="13574" max="13574" width="22" style="388" customWidth="1"/>
    <col min="13575" max="13575" width="17.7109375" style="388" customWidth="1"/>
    <col min="13576" max="13576" width="14.7109375" style="388" customWidth="1"/>
    <col min="13577" max="13577" width="15" style="388" customWidth="1"/>
    <col min="13578" max="13578" width="15.7109375" style="388" customWidth="1"/>
    <col min="13579" max="13579" width="9.28515625" style="388" customWidth="1"/>
    <col min="13580" max="13580" width="10" style="388" customWidth="1"/>
    <col min="13581" max="13581" width="13.7109375" style="388" customWidth="1"/>
    <col min="13582" max="13582" width="10.7109375" style="388" customWidth="1"/>
    <col min="13583" max="13583" width="6" style="388" customWidth="1"/>
    <col min="13584" max="13585" width="5" style="388" customWidth="1"/>
    <col min="13586" max="13586" width="8" style="388" customWidth="1"/>
    <col min="13587" max="13824" width="11.5703125" style="388"/>
    <col min="13825" max="13825" width="7.42578125" style="388" customWidth="1"/>
    <col min="13826" max="13826" width="14.42578125" style="388" customWidth="1"/>
    <col min="13827" max="13827" width="19.7109375" style="388" customWidth="1"/>
    <col min="13828" max="13828" width="16.28515625" style="388" customWidth="1"/>
    <col min="13829" max="13829" width="16.5703125" style="388" customWidth="1"/>
    <col min="13830" max="13830" width="22" style="388" customWidth="1"/>
    <col min="13831" max="13831" width="17.7109375" style="388" customWidth="1"/>
    <col min="13832" max="13832" width="14.7109375" style="388" customWidth="1"/>
    <col min="13833" max="13833" width="15" style="388" customWidth="1"/>
    <col min="13834" max="13834" width="15.7109375" style="388" customWidth="1"/>
    <col min="13835" max="13835" width="9.28515625" style="388" customWidth="1"/>
    <col min="13836" max="13836" width="10" style="388" customWidth="1"/>
    <col min="13837" max="13837" width="13.7109375" style="388" customWidth="1"/>
    <col min="13838" max="13838" width="10.7109375" style="388" customWidth="1"/>
    <col min="13839" max="13839" width="6" style="388" customWidth="1"/>
    <col min="13840" max="13841" width="5" style="388" customWidth="1"/>
    <col min="13842" max="13842" width="8" style="388" customWidth="1"/>
    <col min="13843" max="14080" width="11.5703125" style="388"/>
    <col min="14081" max="14081" width="7.42578125" style="388" customWidth="1"/>
    <col min="14082" max="14082" width="14.42578125" style="388" customWidth="1"/>
    <col min="14083" max="14083" width="19.7109375" style="388" customWidth="1"/>
    <col min="14084" max="14084" width="16.28515625" style="388" customWidth="1"/>
    <col min="14085" max="14085" width="16.5703125" style="388" customWidth="1"/>
    <col min="14086" max="14086" width="22" style="388" customWidth="1"/>
    <col min="14087" max="14087" width="17.7109375" style="388" customWidth="1"/>
    <col min="14088" max="14088" width="14.7109375" style="388" customWidth="1"/>
    <col min="14089" max="14089" width="15" style="388" customWidth="1"/>
    <col min="14090" max="14090" width="15.7109375" style="388" customWidth="1"/>
    <col min="14091" max="14091" width="9.28515625" style="388" customWidth="1"/>
    <col min="14092" max="14092" width="10" style="388" customWidth="1"/>
    <col min="14093" max="14093" width="13.7109375" style="388" customWidth="1"/>
    <col min="14094" max="14094" width="10.7109375" style="388" customWidth="1"/>
    <col min="14095" max="14095" width="6" style="388" customWidth="1"/>
    <col min="14096" max="14097" width="5" style="388" customWidth="1"/>
    <col min="14098" max="14098" width="8" style="388" customWidth="1"/>
    <col min="14099" max="14336" width="11.5703125" style="388"/>
    <col min="14337" max="14337" width="7.42578125" style="388" customWidth="1"/>
    <col min="14338" max="14338" width="14.42578125" style="388" customWidth="1"/>
    <col min="14339" max="14339" width="19.7109375" style="388" customWidth="1"/>
    <col min="14340" max="14340" width="16.28515625" style="388" customWidth="1"/>
    <col min="14341" max="14341" width="16.5703125" style="388" customWidth="1"/>
    <col min="14342" max="14342" width="22" style="388" customWidth="1"/>
    <col min="14343" max="14343" width="17.7109375" style="388" customWidth="1"/>
    <col min="14344" max="14344" width="14.7109375" style="388" customWidth="1"/>
    <col min="14345" max="14345" width="15" style="388" customWidth="1"/>
    <col min="14346" max="14346" width="15.7109375" style="388" customWidth="1"/>
    <col min="14347" max="14347" width="9.28515625" style="388" customWidth="1"/>
    <col min="14348" max="14348" width="10" style="388" customWidth="1"/>
    <col min="14349" max="14349" width="13.7109375" style="388" customWidth="1"/>
    <col min="14350" max="14350" width="10.7109375" style="388" customWidth="1"/>
    <col min="14351" max="14351" width="6" style="388" customWidth="1"/>
    <col min="14352" max="14353" width="5" style="388" customWidth="1"/>
    <col min="14354" max="14354" width="8" style="388" customWidth="1"/>
    <col min="14355" max="14592" width="11.5703125" style="388"/>
    <col min="14593" max="14593" width="7.42578125" style="388" customWidth="1"/>
    <col min="14594" max="14594" width="14.42578125" style="388" customWidth="1"/>
    <col min="14595" max="14595" width="19.7109375" style="388" customWidth="1"/>
    <col min="14596" max="14596" width="16.28515625" style="388" customWidth="1"/>
    <col min="14597" max="14597" width="16.5703125" style="388" customWidth="1"/>
    <col min="14598" max="14598" width="22" style="388" customWidth="1"/>
    <col min="14599" max="14599" width="17.7109375" style="388" customWidth="1"/>
    <col min="14600" max="14600" width="14.7109375" style="388" customWidth="1"/>
    <col min="14601" max="14601" width="15" style="388" customWidth="1"/>
    <col min="14602" max="14602" width="15.7109375" style="388" customWidth="1"/>
    <col min="14603" max="14603" width="9.28515625" style="388" customWidth="1"/>
    <col min="14604" max="14604" width="10" style="388" customWidth="1"/>
    <col min="14605" max="14605" width="13.7109375" style="388" customWidth="1"/>
    <col min="14606" max="14606" width="10.7109375" style="388" customWidth="1"/>
    <col min="14607" max="14607" width="6" style="388" customWidth="1"/>
    <col min="14608" max="14609" width="5" style="388" customWidth="1"/>
    <col min="14610" max="14610" width="8" style="388" customWidth="1"/>
    <col min="14611" max="14848" width="11.5703125" style="388"/>
    <col min="14849" max="14849" width="7.42578125" style="388" customWidth="1"/>
    <col min="14850" max="14850" width="14.42578125" style="388" customWidth="1"/>
    <col min="14851" max="14851" width="19.7109375" style="388" customWidth="1"/>
    <col min="14852" max="14852" width="16.28515625" style="388" customWidth="1"/>
    <col min="14853" max="14853" width="16.5703125" style="388" customWidth="1"/>
    <col min="14854" max="14854" width="22" style="388" customWidth="1"/>
    <col min="14855" max="14855" width="17.7109375" style="388" customWidth="1"/>
    <col min="14856" max="14856" width="14.7109375" style="388" customWidth="1"/>
    <col min="14857" max="14857" width="15" style="388" customWidth="1"/>
    <col min="14858" max="14858" width="15.7109375" style="388" customWidth="1"/>
    <col min="14859" max="14859" width="9.28515625" style="388" customWidth="1"/>
    <col min="14860" max="14860" width="10" style="388" customWidth="1"/>
    <col min="14861" max="14861" width="13.7109375" style="388" customWidth="1"/>
    <col min="14862" max="14862" width="10.7109375" style="388" customWidth="1"/>
    <col min="14863" max="14863" width="6" style="388" customWidth="1"/>
    <col min="14864" max="14865" width="5" style="388" customWidth="1"/>
    <col min="14866" max="14866" width="8" style="388" customWidth="1"/>
    <col min="14867" max="15104" width="11.5703125" style="388"/>
    <col min="15105" max="15105" width="7.42578125" style="388" customWidth="1"/>
    <col min="15106" max="15106" width="14.42578125" style="388" customWidth="1"/>
    <col min="15107" max="15107" width="19.7109375" style="388" customWidth="1"/>
    <col min="15108" max="15108" width="16.28515625" style="388" customWidth="1"/>
    <col min="15109" max="15109" width="16.5703125" style="388" customWidth="1"/>
    <col min="15110" max="15110" width="22" style="388" customWidth="1"/>
    <col min="15111" max="15111" width="17.7109375" style="388" customWidth="1"/>
    <col min="15112" max="15112" width="14.7109375" style="388" customWidth="1"/>
    <col min="15113" max="15113" width="15" style="388" customWidth="1"/>
    <col min="15114" max="15114" width="15.7109375" style="388" customWidth="1"/>
    <col min="15115" max="15115" width="9.28515625" style="388" customWidth="1"/>
    <col min="15116" max="15116" width="10" style="388" customWidth="1"/>
    <col min="15117" max="15117" width="13.7109375" style="388" customWidth="1"/>
    <col min="15118" max="15118" width="10.7109375" style="388" customWidth="1"/>
    <col min="15119" max="15119" width="6" style="388" customWidth="1"/>
    <col min="15120" max="15121" width="5" style="388" customWidth="1"/>
    <col min="15122" max="15122" width="8" style="388" customWidth="1"/>
    <col min="15123" max="15360" width="11.5703125" style="388"/>
    <col min="15361" max="15361" width="7.42578125" style="388" customWidth="1"/>
    <col min="15362" max="15362" width="14.42578125" style="388" customWidth="1"/>
    <col min="15363" max="15363" width="19.7109375" style="388" customWidth="1"/>
    <col min="15364" max="15364" width="16.28515625" style="388" customWidth="1"/>
    <col min="15365" max="15365" width="16.5703125" style="388" customWidth="1"/>
    <col min="15366" max="15366" width="22" style="388" customWidth="1"/>
    <col min="15367" max="15367" width="17.7109375" style="388" customWidth="1"/>
    <col min="15368" max="15368" width="14.7109375" style="388" customWidth="1"/>
    <col min="15369" max="15369" width="15" style="388" customWidth="1"/>
    <col min="15370" max="15370" width="15.7109375" style="388" customWidth="1"/>
    <col min="15371" max="15371" width="9.28515625" style="388" customWidth="1"/>
    <col min="15372" max="15372" width="10" style="388" customWidth="1"/>
    <col min="15373" max="15373" width="13.7109375" style="388" customWidth="1"/>
    <col min="15374" max="15374" width="10.7109375" style="388" customWidth="1"/>
    <col min="15375" max="15375" width="6" style="388" customWidth="1"/>
    <col min="15376" max="15377" width="5" style="388" customWidth="1"/>
    <col min="15378" max="15378" width="8" style="388" customWidth="1"/>
    <col min="15379" max="15616" width="11.5703125" style="388"/>
    <col min="15617" max="15617" width="7.42578125" style="388" customWidth="1"/>
    <col min="15618" max="15618" width="14.42578125" style="388" customWidth="1"/>
    <col min="15619" max="15619" width="19.7109375" style="388" customWidth="1"/>
    <col min="15620" max="15620" width="16.28515625" style="388" customWidth="1"/>
    <col min="15621" max="15621" width="16.5703125" style="388" customWidth="1"/>
    <col min="15622" max="15622" width="22" style="388" customWidth="1"/>
    <col min="15623" max="15623" width="17.7109375" style="388" customWidth="1"/>
    <col min="15624" max="15624" width="14.7109375" style="388" customWidth="1"/>
    <col min="15625" max="15625" width="15" style="388" customWidth="1"/>
    <col min="15626" max="15626" width="15.7109375" style="388" customWidth="1"/>
    <col min="15627" max="15627" width="9.28515625" style="388" customWidth="1"/>
    <col min="15628" max="15628" width="10" style="388" customWidth="1"/>
    <col min="15629" max="15629" width="13.7109375" style="388" customWidth="1"/>
    <col min="15630" max="15630" width="10.7109375" style="388" customWidth="1"/>
    <col min="15631" max="15631" width="6" style="388" customWidth="1"/>
    <col min="15632" max="15633" width="5" style="388" customWidth="1"/>
    <col min="15634" max="15634" width="8" style="388" customWidth="1"/>
    <col min="15635" max="15872" width="11.5703125" style="388"/>
    <col min="15873" max="15873" width="7.42578125" style="388" customWidth="1"/>
    <col min="15874" max="15874" width="14.42578125" style="388" customWidth="1"/>
    <col min="15875" max="15875" width="19.7109375" style="388" customWidth="1"/>
    <col min="15876" max="15876" width="16.28515625" style="388" customWidth="1"/>
    <col min="15877" max="15877" width="16.5703125" style="388" customWidth="1"/>
    <col min="15878" max="15878" width="22" style="388" customWidth="1"/>
    <col min="15879" max="15879" width="17.7109375" style="388" customWidth="1"/>
    <col min="15880" max="15880" width="14.7109375" style="388" customWidth="1"/>
    <col min="15881" max="15881" width="15" style="388" customWidth="1"/>
    <col min="15882" max="15882" width="15.7109375" style="388" customWidth="1"/>
    <col min="15883" max="15883" width="9.28515625" style="388" customWidth="1"/>
    <col min="15884" max="15884" width="10" style="388" customWidth="1"/>
    <col min="15885" max="15885" width="13.7109375" style="388" customWidth="1"/>
    <col min="15886" max="15886" width="10.7109375" style="388" customWidth="1"/>
    <col min="15887" max="15887" width="6" style="388" customWidth="1"/>
    <col min="15888" max="15889" width="5" style="388" customWidth="1"/>
    <col min="15890" max="15890" width="8" style="388" customWidth="1"/>
    <col min="15891" max="16128" width="11.5703125" style="388"/>
    <col min="16129" max="16129" width="7.42578125" style="388" customWidth="1"/>
    <col min="16130" max="16130" width="14.42578125" style="388" customWidth="1"/>
    <col min="16131" max="16131" width="19.7109375" style="388" customWidth="1"/>
    <col min="16132" max="16132" width="16.28515625" style="388" customWidth="1"/>
    <col min="16133" max="16133" width="16.5703125" style="388" customWidth="1"/>
    <col min="16134" max="16134" width="22" style="388" customWidth="1"/>
    <col min="16135" max="16135" width="17.7109375" style="388" customWidth="1"/>
    <col min="16136" max="16136" width="14.7109375" style="388" customWidth="1"/>
    <col min="16137" max="16137" width="15" style="388" customWidth="1"/>
    <col min="16138" max="16138" width="15.7109375" style="388" customWidth="1"/>
    <col min="16139" max="16139" width="9.28515625" style="388" customWidth="1"/>
    <col min="16140" max="16140" width="10" style="388" customWidth="1"/>
    <col min="16141" max="16141" width="13.7109375" style="388" customWidth="1"/>
    <col min="16142" max="16142" width="10.7109375" style="388" customWidth="1"/>
    <col min="16143" max="16143" width="6" style="388" customWidth="1"/>
    <col min="16144" max="16145" width="5" style="388" customWidth="1"/>
    <col min="16146" max="16146" width="8" style="388" customWidth="1"/>
    <col min="16147" max="16384" width="11.5703125" style="388"/>
  </cols>
  <sheetData>
    <row r="1" spans="1:19" ht="16.5">
      <c r="A1" s="922" t="s">
        <v>280</v>
      </c>
      <c r="B1" s="922"/>
      <c r="C1" s="922"/>
      <c r="D1" s="922"/>
      <c r="E1" s="922"/>
      <c r="F1" s="922"/>
      <c r="G1" s="922"/>
      <c r="H1" s="922"/>
      <c r="I1" s="922"/>
      <c r="J1" s="922"/>
      <c r="K1" s="922"/>
      <c r="L1" s="922"/>
      <c r="M1" s="922"/>
      <c r="N1" s="922"/>
      <c r="O1" s="922"/>
      <c r="P1" s="922"/>
      <c r="Q1" s="387"/>
      <c r="R1" s="387"/>
      <c r="S1" s="387"/>
    </row>
    <row r="2" spans="1:19" s="242" customFormat="1" ht="10.5" customHeight="1">
      <c r="A2" s="389" t="s">
        <v>281</v>
      </c>
      <c r="B2" s="390"/>
      <c r="C2" s="390"/>
      <c r="D2" s="391"/>
      <c r="E2" s="392"/>
      <c r="F2" s="389" t="s">
        <v>282</v>
      </c>
      <c r="G2" s="393"/>
      <c r="H2" s="391"/>
      <c r="I2" s="389" t="s">
        <v>283</v>
      </c>
      <c r="J2" s="393"/>
      <c r="K2" s="391"/>
      <c r="L2" s="389" t="s">
        <v>284</v>
      </c>
      <c r="M2" s="393"/>
      <c r="N2" s="394"/>
      <c r="O2" s="395"/>
      <c r="P2" s="396"/>
      <c r="Q2" s="396"/>
      <c r="R2" s="397"/>
      <c r="S2" s="398"/>
    </row>
    <row r="3" spans="1:19" s="242" customFormat="1" ht="7.5" customHeight="1">
      <c r="A3" s="399" t="s">
        <v>285</v>
      </c>
      <c r="B3" s="400"/>
      <c r="C3" s="400"/>
      <c r="D3" s="401"/>
      <c r="E3" s="401"/>
      <c r="F3" s="399" t="s">
        <v>286</v>
      </c>
      <c r="G3" s="402"/>
      <c r="H3" s="401"/>
      <c r="I3" s="399" t="s">
        <v>287</v>
      </c>
      <c r="J3" s="402"/>
      <c r="K3" s="401"/>
      <c r="L3" s="399" t="s">
        <v>288</v>
      </c>
      <c r="M3" s="402"/>
      <c r="N3" s="402"/>
      <c r="O3" s="401"/>
      <c r="P3" s="403"/>
      <c r="Q3" s="403"/>
      <c r="R3" s="404"/>
      <c r="S3" s="398"/>
    </row>
    <row r="4" spans="1:19" s="242" customFormat="1" ht="10.5" customHeight="1">
      <c r="A4" s="405">
        <v>1</v>
      </c>
      <c r="B4" s="406"/>
      <c r="C4" s="406"/>
      <c r="D4" s="407"/>
      <c r="E4" s="408"/>
      <c r="F4" s="409"/>
      <c r="G4" s="410"/>
      <c r="H4" s="407"/>
      <c r="I4" s="411"/>
      <c r="J4" s="412"/>
      <c r="K4" s="413"/>
      <c r="L4" s="414"/>
      <c r="M4" s="415"/>
      <c r="N4" s="416"/>
      <c r="O4" s="417"/>
      <c r="P4" s="418"/>
      <c r="Q4" s="418"/>
      <c r="R4" s="419"/>
      <c r="S4" s="420"/>
    </row>
    <row r="5" spans="1:19" s="242" customFormat="1" ht="12.75" customHeight="1">
      <c r="A5" s="389" t="s">
        <v>289</v>
      </c>
      <c r="B5" s="390"/>
      <c r="C5" s="390"/>
      <c r="D5" s="391"/>
      <c r="E5" s="392"/>
      <c r="F5" s="389" t="s">
        <v>8</v>
      </c>
      <c r="G5" s="393"/>
      <c r="H5" s="391"/>
      <c r="I5" s="389" t="s">
        <v>290</v>
      </c>
      <c r="J5" s="393"/>
      <c r="K5" s="391"/>
      <c r="L5" s="391"/>
      <c r="M5" s="391"/>
      <c r="N5" s="401"/>
      <c r="O5" s="421"/>
      <c r="P5" s="422"/>
      <c r="Q5" s="422"/>
      <c r="R5" s="398"/>
      <c r="S5" s="398"/>
    </row>
    <row r="6" spans="1:19" s="242" customFormat="1" ht="12.75" customHeight="1">
      <c r="A6" s="399" t="s">
        <v>291</v>
      </c>
      <c r="B6" s="400"/>
      <c r="C6" s="400"/>
      <c r="D6" s="401"/>
      <c r="E6" s="401"/>
      <c r="F6" s="399" t="s">
        <v>292</v>
      </c>
      <c r="G6" s="423"/>
      <c r="H6" s="401"/>
      <c r="I6" s="399" t="s">
        <v>293</v>
      </c>
      <c r="J6" s="402"/>
      <c r="K6" s="401"/>
      <c r="L6" s="401"/>
      <c r="M6" s="401"/>
      <c r="N6" s="401"/>
      <c r="O6" s="424"/>
      <c r="P6" s="425"/>
      <c r="Q6" s="425"/>
      <c r="R6" s="398"/>
      <c r="S6" s="398"/>
    </row>
    <row r="7" spans="1:19" s="242" customFormat="1" ht="12.75" customHeight="1">
      <c r="A7" s="399"/>
      <c r="B7" s="400"/>
      <c r="C7" s="400"/>
      <c r="D7" s="401"/>
      <c r="E7" s="401"/>
      <c r="F7" s="399"/>
      <c r="G7" s="423"/>
      <c r="H7" s="401"/>
      <c r="I7" s="426" t="s">
        <v>294</v>
      </c>
      <c r="J7" s="427"/>
      <c r="K7" s="401"/>
      <c r="L7" s="401"/>
      <c r="M7" s="401"/>
      <c r="N7" s="401"/>
      <c r="O7" s="424"/>
      <c r="P7" s="425"/>
      <c r="Q7" s="425"/>
      <c r="R7" s="398"/>
      <c r="S7" s="398"/>
    </row>
    <row r="8" spans="1:19" s="242" customFormat="1" ht="12.75" customHeight="1">
      <c r="A8" s="399"/>
      <c r="B8" s="400"/>
      <c r="C8" s="400"/>
      <c r="D8" s="401"/>
      <c r="E8" s="401"/>
      <c r="F8" s="399"/>
      <c r="G8" s="423"/>
      <c r="H8" s="401"/>
      <c r="I8" s="399"/>
      <c r="J8" s="402"/>
      <c r="K8" s="401"/>
      <c r="L8" s="401"/>
      <c r="M8" s="401"/>
      <c r="N8" s="401"/>
      <c r="O8" s="424"/>
      <c r="P8" s="425"/>
      <c r="Q8" s="425"/>
      <c r="R8" s="398"/>
      <c r="S8" s="398"/>
    </row>
    <row r="9" spans="1:19" s="242" customFormat="1" ht="12.75" customHeight="1">
      <c r="A9" s="428"/>
      <c r="B9" s="429"/>
      <c r="C9" s="429"/>
      <c r="D9" s="407"/>
      <c r="E9" s="430"/>
      <c r="F9" s="431"/>
      <c r="G9" s="432"/>
      <c r="H9" s="433"/>
      <c r="I9" s="434"/>
      <c r="J9" s="435"/>
      <c r="K9" s="429"/>
      <c r="L9" s="429"/>
      <c r="M9" s="429"/>
      <c r="N9" s="429"/>
      <c r="O9" s="436"/>
      <c r="P9" s="437"/>
      <c r="Q9" s="437"/>
      <c r="R9" s="420"/>
      <c r="S9" s="420"/>
    </row>
    <row r="10" spans="1:19" s="242" customFormat="1" ht="10.5" customHeight="1">
      <c r="A10" s="438" t="s">
        <v>151</v>
      </c>
      <c r="B10" s="439"/>
      <c r="C10" s="439"/>
      <c r="D10" s="391"/>
      <c r="E10" s="392"/>
      <c r="F10" s="389" t="s">
        <v>295</v>
      </c>
      <c r="G10" s="393"/>
      <c r="H10" s="391"/>
      <c r="I10" s="389" t="s">
        <v>296</v>
      </c>
      <c r="J10" s="393"/>
      <c r="K10" s="391"/>
      <c r="L10" s="391"/>
      <c r="M10" s="391"/>
      <c r="N10" s="391"/>
      <c r="O10" s="401"/>
      <c r="P10" s="440"/>
      <c r="Q10" s="440"/>
      <c r="R10" s="398"/>
      <c r="S10" s="398"/>
    </row>
    <row r="11" spans="1:19" s="242" customFormat="1" ht="7.5" customHeight="1">
      <c r="A11" s="399" t="s">
        <v>297</v>
      </c>
      <c r="B11" s="400"/>
      <c r="C11" s="400"/>
      <c r="D11" s="401"/>
      <c r="E11" s="401"/>
      <c r="F11" s="399" t="s">
        <v>298</v>
      </c>
      <c r="G11" s="402"/>
      <c r="H11" s="401"/>
      <c r="I11" s="399" t="s">
        <v>299</v>
      </c>
      <c r="J11" s="402"/>
      <c r="K11" s="401"/>
      <c r="L11" s="401"/>
      <c r="M11" s="401"/>
      <c r="N11" s="401"/>
      <c r="O11" s="401"/>
      <c r="P11" s="425"/>
      <c r="Q11" s="425"/>
      <c r="R11" s="398"/>
      <c r="S11" s="398"/>
    </row>
    <row r="12" spans="1:19" s="242" customFormat="1" ht="10.5" customHeight="1">
      <c r="A12" s="405"/>
      <c r="B12" s="406"/>
      <c r="C12" s="406"/>
      <c r="D12" s="407"/>
      <c r="E12" s="408"/>
      <c r="F12" s="441"/>
      <c r="G12" s="442"/>
      <c r="H12" s="407"/>
      <c r="I12" s="443"/>
      <c r="J12" s="435"/>
      <c r="K12" s="429"/>
      <c r="L12" s="429"/>
      <c r="M12" s="429"/>
      <c r="N12" s="429"/>
      <c r="O12" s="417"/>
      <c r="P12" s="437"/>
      <c r="Q12" s="437"/>
      <c r="R12" s="420"/>
      <c r="S12" s="420"/>
    </row>
    <row r="13" spans="1:19" s="242" customFormat="1" ht="10.5" customHeight="1">
      <c r="A13" s="438" t="s">
        <v>153</v>
      </c>
      <c r="B13" s="439"/>
      <c r="C13" s="439"/>
      <c r="D13" s="438" t="s">
        <v>154</v>
      </c>
      <c r="E13" s="392"/>
      <c r="F13" s="438" t="s">
        <v>300</v>
      </c>
      <c r="G13" s="444"/>
      <c r="H13" s="391"/>
      <c r="I13" s="389" t="s">
        <v>300</v>
      </c>
      <c r="J13" s="393"/>
      <c r="K13" s="391"/>
      <c r="L13" s="391"/>
      <c r="M13" s="391"/>
      <c r="N13" s="391"/>
      <c r="O13" s="395"/>
      <c r="P13" s="422"/>
      <c r="Q13" s="422"/>
      <c r="R13" s="398"/>
      <c r="S13" s="398"/>
    </row>
    <row r="14" spans="1:19" s="242" customFormat="1" ht="8.25" customHeight="1">
      <c r="A14" s="399" t="s">
        <v>301</v>
      </c>
      <c r="B14" s="400"/>
      <c r="C14" s="400"/>
      <c r="D14" s="399" t="s">
        <v>302</v>
      </c>
      <c r="E14" s="401"/>
      <c r="F14" s="399" t="s">
        <v>303</v>
      </c>
      <c r="G14" s="402"/>
      <c r="H14" s="401"/>
      <c r="I14" s="399" t="s">
        <v>303</v>
      </c>
      <c r="J14" s="402"/>
      <c r="K14" s="401"/>
      <c r="L14" s="401"/>
      <c r="M14" s="401"/>
      <c r="N14" s="401"/>
      <c r="O14" s="401"/>
      <c r="P14" s="425"/>
      <c r="Q14" s="425"/>
      <c r="R14" s="398"/>
      <c r="S14" s="398"/>
    </row>
    <row r="15" spans="1:19" s="242" customFormat="1" ht="10.5" customHeight="1">
      <c r="A15" s="405"/>
      <c r="B15" s="429"/>
      <c r="C15" s="429"/>
      <c r="D15" s="445"/>
      <c r="E15" s="446"/>
      <c r="F15" s="441"/>
      <c r="G15" s="442"/>
      <c r="H15" s="407"/>
      <c r="I15" s="434"/>
      <c r="J15" s="435"/>
      <c r="K15" s="429"/>
      <c r="L15" s="429"/>
      <c r="M15" s="429"/>
      <c r="N15" s="429"/>
      <c r="O15" s="417"/>
      <c r="P15" s="437"/>
      <c r="Q15" s="437"/>
      <c r="R15" s="420"/>
      <c r="S15" s="420"/>
    </row>
    <row r="16" spans="1:19" s="242" customFormat="1" ht="9" customHeight="1">
      <c r="A16" s="923" t="s">
        <v>304</v>
      </c>
      <c r="B16" s="924" t="s">
        <v>305</v>
      </c>
      <c r="C16" s="925"/>
      <c r="D16" s="928"/>
      <c r="E16" s="920"/>
      <c r="F16" s="920"/>
      <c r="G16" s="920"/>
      <c r="H16" s="920"/>
      <c r="I16" s="917"/>
      <c r="J16" s="907"/>
      <c r="K16" s="917"/>
      <c r="L16" s="917"/>
      <c r="M16" s="447"/>
      <c r="N16" s="448"/>
      <c r="O16" s="449"/>
      <c r="P16" s="450"/>
      <c r="Q16" s="450"/>
      <c r="R16" s="451"/>
      <c r="S16" s="452"/>
    </row>
    <row r="17" spans="1:21" s="242" customFormat="1" ht="12" customHeight="1">
      <c r="A17" s="923"/>
      <c r="B17" s="924"/>
      <c r="C17" s="926"/>
      <c r="D17" s="928"/>
      <c r="E17" s="920"/>
      <c r="F17" s="920"/>
      <c r="G17" s="920"/>
      <c r="H17" s="920"/>
      <c r="I17" s="918"/>
      <c r="J17" s="907"/>
      <c r="K17" s="918"/>
      <c r="L17" s="918"/>
      <c r="M17" s="453"/>
      <c r="N17" s="454"/>
      <c r="O17" s="454"/>
      <c r="P17" s="455"/>
      <c r="Q17" s="455"/>
      <c r="R17" s="451"/>
      <c r="S17" s="452"/>
    </row>
    <row r="18" spans="1:21" s="242" customFormat="1" ht="17.25" customHeight="1">
      <c r="A18" s="923"/>
      <c r="B18" s="924"/>
      <c r="C18" s="927"/>
      <c r="D18" s="928"/>
      <c r="E18" s="920"/>
      <c r="F18" s="920"/>
      <c r="G18" s="920"/>
      <c r="H18" s="920"/>
      <c r="I18" s="929"/>
      <c r="J18" s="917"/>
      <c r="K18" s="918"/>
      <c r="L18" s="918"/>
      <c r="M18" s="453"/>
      <c r="N18" s="454"/>
      <c r="O18" s="454"/>
      <c r="P18" s="455"/>
      <c r="Q18" s="455"/>
      <c r="R18" s="451"/>
      <c r="S18" s="452"/>
    </row>
    <row r="19" spans="1:21" s="242" customFormat="1" ht="36.75" customHeight="1">
      <c r="A19" s="883" t="s">
        <v>306</v>
      </c>
      <c r="B19" s="898" t="s">
        <v>307</v>
      </c>
      <c r="C19" s="456" t="s">
        <v>308</v>
      </c>
      <c r="D19" s="456" t="s">
        <v>309</v>
      </c>
      <c r="E19" s="457" t="s">
        <v>310</v>
      </c>
      <c r="F19" s="457" t="s">
        <v>311</v>
      </c>
      <c r="G19" s="919" t="s">
        <v>312</v>
      </c>
      <c r="H19" s="920"/>
      <c r="I19" s="920"/>
      <c r="J19" s="921"/>
      <c r="K19" s="893" t="s">
        <v>313</v>
      </c>
      <c r="L19" s="894"/>
      <c r="M19" s="894"/>
      <c r="N19" s="894"/>
      <c r="O19" s="894"/>
      <c r="P19" s="895"/>
      <c r="Q19" s="458"/>
      <c r="R19" s="459"/>
      <c r="S19" s="460"/>
    </row>
    <row r="20" spans="1:21" s="466" customFormat="1" ht="46.5" customHeight="1">
      <c r="A20" s="884"/>
      <c r="B20" s="899"/>
      <c r="C20" s="461"/>
      <c r="D20" s="461"/>
      <c r="E20" s="462"/>
      <c r="F20" s="463"/>
      <c r="G20" s="890"/>
      <c r="H20" s="892"/>
      <c r="I20" s="892"/>
      <c r="J20" s="891"/>
      <c r="K20" s="890"/>
      <c r="L20" s="892"/>
      <c r="M20" s="892"/>
      <c r="N20" s="892"/>
      <c r="O20" s="892"/>
      <c r="P20" s="891"/>
      <c r="Q20" s="464"/>
      <c r="R20" s="465"/>
      <c r="S20" s="465"/>
    </row>
    <row r="21" spans="1:21" s="242" customFormat="1" ht="25.5" customHeight="1">
      <c r="A21" s="911" t="s">
        <v>314</v>
      </c>
      <c r="B21" s="898" t="s">
        <v>315</v>
      </c>
      <c r="C21" s="457" t="s">
        <v>316</v>
      </c>
      <c r="D21" s="467" t="s">
        <v>317</v>
      </c>
      <c r="E21" s="467" t="s">
        <v>318</v>
      </c>
      <c r="F21" s="468" t="s">
        <v>319</v>
      </c>
      <c r="G21" s="468" t="s">
        <v>320</v>
      </c>
      <c r="H21" s="457" t="s">
        <v>321</v>
      </c>
      <c r="I21" s="457" t="s">
        <v>322</v>
      </c>
      <c r="J21" s="893" t="s">
        <v>323</v>
      </c>
      <c r="K21" s="894"/>
      <c r="L21" s="894"/>
      <c r="M21" s="895"/>
      <c r="N21" s="893" t="s">
        <v>324</v>
      </c>
      <c r="O21" s="894"/>
      <c r="P21" s="894"/>
      <c r="Q21" s="469"/>
      <c r="R21" s="470"/>
      <c r="S21" s="470"/>
      <c r="T21" s="471"/>
      <c r="U21" s="471"/>
    </row>
    <row r="22" spans="1:21" s="242" customFormat="1" ht="25.5" customHeight="1">
      <c r="A22" s="912"/>
      <c r="B22" s="906"/>
      <c r="C22" s="472"/>
      <c r="D22" s="473"/>
      <c r="E22" s="472"/>
      <c r="F22" s="474"/>
      <c r="G22" s="474"/>
      <c r="H22" s="472"/>
      <c r="I22" s="475"/>
      <c r="J22" s="914"/>
      <c r="K22" s="915"/>
      <c r="L22" s="915"/>
      <c r="M22" s="916"/>
      <c r="N22" s="914"/>
      <c r="O22" s="915"/>
      <c r="P22" s="916"/>
      <c r="Q22" s="469"/>
      <c r="R22" s="470"/>
      <c r="S22" s="470"/>
      <c r="T22" s="471"/>
      <c r="U22" s="471"/>
    </row>
    <row r="23" spans="1:21" s="242" customFormat="1" ht="29.25" customHeight="1">
      <c r="A23" s="912"/>
      <c r="B23" s="906"/>
      <c r="C23" s="472"/>
      <c r="D23" s="473"/>
      <c r="E23" s="472"/>
      <c r="F23" s="474"/>
      <c r="G23" s="474"/>
      <c r="H23" s="474"/>
      <c r="I23" s="476"/>
      <c r="J23" s="914"/>
      <c r="K23" s="915"/>
      <c r="L23" s="915"/>
      <c r="M23" s="916"/>
      <c r="N23" s="914"/>
      <c r="O23" s="915"/>
      <c r="P23" s="916"/>
      <c r="Q23" s="469"/>
      <c r="R23" s="470"/>
      <c r="S23" s="470"/>
      <c r="T23" s="471"/>
      <c r="U23" s="471"/>
    </row>
    <row r="24" spans="1:21" s="242" customFormat="1" ht="29.25" customHeight="1">
      <c r="A24" s="913"/>
      <c r="B24" s="899"/>
      <c r="C24" s="472"/>
      <c r="D24" s="472"/>
      <c r="E24" s="472"/>
      <c r="F24" s="472"/>
      <c r="G24" s="472"/>
      <c r="H24" s="472"/>
      <c r="I24" s="472"/>
      <c r="J24" s="914"/>
      <c r="K24" s="915"/>
      <c r="L24" s="915"/>
      <c r="M24" s="916"/>
      <c r="N24" s="890"/>
      <c r="O24" s="892"/>
      <c r="P24" s="892"/>
      <c r="Q24" s="477"/>
      <c r="R24" s="478"/>
      <c r="S24" s="479"/>
    </row>
    <row r="25" spans="1:21" s="242" customFormat="1" ht="42" customHeight="1">
      <c r="A25" s="883" t="s">
        <v>325</v>
      </c>
      <c r="B25" s="898" t="s">
        <v>326</v>
      </c>
      <c r="C25" s="457" t="s">
        <v>327</v>
      </c>
      <c r="D25" s="457" t="s">
        <v>328</v>
      </c>
      <c r="E25" s="457" t="s">
        <v>329</v>
      </c>
      <c r="F25" s="457" t="s">
        <v>330</v>
      </c>
      <c r="G25" s="896" t="s">
        <v>331</v>
      </c>
      <c r="H25" s="907"/>
      <c r="I25" s="467" t="s">
        <v>332</v>
      </c>
      <c r="J25" s="480" t="s">
        <v>333</v>
      </c>
      <c r="K25" s="480" t="s">
        <v>334</v>
      </c>
      <c r="L25" s="480" t="s">
        <v>335</v>
      </c>
      <c r="M25" s="480" t="s">
        <v>336</v>
      </c>
      <c r="N25" s="896" t="s">
        <v>337</v>
      </c>
      <c r="O25" s="907"/>
      <c r="P25" s="907"/>
      <c r="Q25" s="481"/>
      <c r="R25" s="470"/>
      <c r="S25" s="470"/>
    </row>
    <row r="26" spans="1:21" s="242" customFormat="1" ht="42" customHeight="1">
      <c r="A26" s="905"/>
      <c r="B26" s="906"/>
      <c r="C26" s="472"/>
      <c r="D26" s="472"/>
      <c r="E26" s="472"/>
      <c r="F26" s="472"/>
      <c r="G26" s="908"/>
      <c r="H26" s="909"/>
      <c r="I26" s="472"/>
      <c r="J26" s="482"/>
      <c r="K26" s="482"/>
      <c r="L26" s="483"/>
      <c r="M26" s="482"/>
      <c r="N26" s="908"/>
      <c r="O26" s="910"/>
      <c r="P26" s="909"/>
      <c r="Q26" s="481"/>
      <c r="R26" s="470"/>
      <c r="S26" s="470"/>
    </row>
    <row r="27" spans="1:21" s="242" customFormat="1" ht="42" customHeight="1">
      <c r="A27" s="905"/>
      <c r="B27" s="906"/>
      <c r="C27" s="472"/>
      <c r="D27" s="472"/>
      <c r="E27" s="472"/>
      <c r="F27" s="472"/>
      <c r="G27" s="908"/>
      <c r="H27" s="909"/>
      <c r="I27" s="472"/>
      <c r="J27" s="482"/>
      <c r="K27" s="482"/>
      <c r="L27" s="483"/>
      <c r="M27" s="482"/>
      <c r="N27" s="908"/>
      <c r="O27" s="910"/>
      <c r="P27" s="909"/>
      <c r="Q27" s="481"/>
      <c r="R27" s="470"/>
      <c r="S27" s="470"/>
    </row>
    <row r="28" spans="1:21" s="242" customFormat="1" ht="42" customHeight="1">
      <c r="A28" s="884"/>
      <c r="B28" s="899"/>
      <c r="C28" s="472"/>
      <c r="D28" s="472"/>
      <c r="E28" s="472"/>
      <c r="F28" s="472"/>
      <c r="G28" s="890"/>
      <c r="H28" s="891"/>
      <c r="I28" s="461"/>
      <c r="J28" s="461"/>
      <c r="K28" s="461"/>
      <c r="L28" s="461"/>
      <c r="M28" s="461"/>
      <c r="N28" s="890"/>
      <c r="O28" s="892"/>
      <c r="P28" s="892"/>
      <c r="Q28" s="484"/>
      <c r="R28" s="478"/>
      <c r="S28" s="479"/>
    </row>
    <row r="29" spans="1:21" s="242" customFormat="1" ht="30.75" customHeight="1">
      <c r="A29" s="883" t="s">
        <v>338</v>
      </c>
      <c r="B29" s="898" t="s">
        <v>339</v>
      </c>
      <c r="C29" s="457" t="s">
        <v>340</v>
      </c>
      <c r="D29" s="457" t="s">
        <v>341</v>
      </c>
      <c r="E29" s="457" t="s">
        <v>342</v>
      </c>
      <c r="F29" s="457" t="s">
        <v>343</v>
      </c>
      <c r="G29" s="900" t="s">
        <v>344</v>
      </c>
      <c r="H29" s="901"/>
      <c r="I29" s="902" t="s">
        <v>345</v>
      </c>
      <c r="J29" s="902"/>
      <c r="K29" s="902"/>
      <c r="L29" s="893" t="s">
        <v>346</v>
      </c>
      <c r="M29" s="894"/>
      <c r="N29" s="894"/>
      <c r="O29" s="894"/>
      <c r="P29" s="894"/>
      <c r="Q29" s="477"/>
      <c r="R29" s="478"/>
      <c r="S29" s="479"/>
    </row>
    <row r="30" spans="1:21" s="242" customFormat="1" ht="45.75" customHeight="1">
      <c r="A30" s="884"/>
      <c r="B30" s="899"/>
      <c r="C30" s="461"/>
      <c r="D30" s="461"/>
      <c r="E30" s="461"/>
      <c r="F30" s="485"/>
      <c r="G30" s="903"/>
      <c r="H30" s="904"/>
      <c r="I30" s="890"/>
      <c r="J30" s="892"/>
      <c r="K30" s="891"/>
      <c r="L30" s="890"/>
      <c r="M30" s="892"/>
      <c r="N30" s="892"/>
      <c r="O30" s="892"/>
      <c r="P30" s="892"/>
      <c r="Q30" s="477"/>
      <c r="R30" s="478"/>
      <c r="S30" s="479"/>
    </row>
    <row r="31" spans="1:21" s="242" customFormat="1" ht="42.75" customHeight="1">
      <c r="A31" s="883" t="s">
        <v>347</v>
      </c>
      <c r="B31" s="883" t="s">
        <v>348</v>
      </c>
      <c r="C31" s="457" t="s">
        <v>349</v>
      </c>
      <c r="D31" s="486" t="s">
        <v>350</v>
      </c>
      <c r="E31" s="486" t="s">
        <v>351</v>
      </c>
      <c r="F31" s="486" t="s">
        <v>352</v>
      </c>
      <c r="G31" s="486" t="s">
        <v>353</v>
      </c>
      <c r="H31" s="480" t="s">
        <v>354</v>
      </c>
      <c r="I31" s="457" t="s">
        <v>355</v>
      </c>
      <c r="J31" s="486" t="s">
        <v>356</v>
      </c>
      <c r="K31" s="893" t="s">
        <v>346</v>
      </c>
      <c r="L31" s="894"/>
      <c r="M31" s="894"/>
      <c r="N31" s="894"/>
      <c r="O31" s="894"/>
      <c r="P31" s="895"/>
      <c r="Q31" s="477"/>
      <c r="R31" s="478"/>
      <c r="S31" s="479"/>
    </row>
    <row r="32" spans="1:21" s="466" customFormat="1" ht="46.5" customHeight="1">
      <c r="A32" s="884"/>
      <c r="B32" s="884"/>
      <c r="C32" s="487"/>
      <c r="D32" s="461"/>
      <c r="E32" s="461"/>
      <c r="F32" s="461"/>
      <c r="G32" s="461"/>
      <c r="H32" s="462"/>
      <c r="I32" s="461"/>
      <c r="J32" s="461"/>
      <c r="K32" s="890"/>
      <c r="L32" s="892"/>
      <c r="M32" s="892"/>
      <c r="N32" s="892"/>
      <c r="O32" s="892"/>
      <c r="P32" s="891"/>
      <c r="Q32" s="464"/>
      <c r="R32" s="465"/>
      <c r="S32" s="465"/>
    </row>
    <row r="33" spans="1:19" s="242" customFormat="1" ht="28.5" customHeight="1">
      <c r="A33" s="883" t="s">
        <v>357</v>
      </c>
      <c r="B33" s="883" t="s">
        <v>358</v>
      </c>
      <c r="C33" s="488" t="s">
        <v>359</v>
      </c>
      <c r="D33" s="896" t="s">
        <v>360</v>
      </c>
      <c r="E33" s="897"/>
      <c r="F33" s="480" t="s">
        <v>361</v>
      </c>
      <c r="G33" s="480" t="s">
        <v>362</v>
      </c>
      <c r="H33" s="480" t="s">
        <v>363</v>
      </c>
      <c r="I33" s="887" t="s">
        <v>346</v>
      </c>
      <c r="J33" s="888"/>
      <c r="K33" s="888"/>
      <c r="L33" s="888"/>
      <c r="M33" s="888"/>
      <c r="N33" s="888"/>
      <c r="O33" s="888"/>
      <c r="P33" s="889"/>
      <c r="Q33" s="477"/>
      <c r="R33" s="478"/>
      <c r="S33" s="479"/>
    </row>
    <row r="34" spans="1:19" s="466" customFormat="1" ht="34.5" customHeight="1">
      <c r="A34" s="884"/>
      <c r="B34" s="884"/>
      <c r="C34" s="487"/>
      <c r="D34" s="890"/>
      <c r="E34" s="891"/>
      <c r="F34" s="463"/>
      <c r="G34" s="463"/>
      <c r="H34" s="463"/>
      <c r="I34" s="890"/>
      <c r="J34" s="892"/>
      <c r="K34" s="892"/>
      <c r="L34" s="892"/>
      <c r="M34" s="892"/>
      <c r="N34" s="892"/>
      <c r="O34" s="892"/>
      <c r="P34" s="891"/>
      <c r="Q34" s="464"/>
      <c r="R34" s="465"/>
      <c r="S34" s="465"/>
    </row>
    <row r="35" spans="1:19" s="242" customFormat="1" ht="24" customHeight="1">
      <c r="A35" s="883" t="s">
        <v>364</v>
      </c>
      <c r="B35" s="883" t="s">
        <v>365</v>
      </c>
      <c r="C35" s="457" t="s">
        <v>322</v>
      </c>
      <c r="D35" s="457" t="s">
        <v>366</v>
      </c>
      <c r="E35" s="885" t="s">
        <v>367</v>
      </c>
      <c r="F35" s="886"/>
      <c r="G35" s="480" t="s">
        <v>368</v>
      </c>
      <c r="H35" s="480" t="s">
        <v>336</v>
      </c>
      <c r="I35" s="887" t="s">
        <v>346</v>
      </c>
      <c r="J35" s="888"/>
      <c r="K35" s="888"/>
      <c r="L35" s="888"/>
      <c r="M35" s="888"/>
      <c r="N35" s="888"/>
      <c r="O35" s="888"/>
      <c r="P35" s="889"/>
      <c r="Q35" s="477"/>
      <c r="R35" s="478"/>
      <c r="S35" s="479"/>
    </row>
    <row r="36" spans="1:19" s="466" customFormat="1" ht="34.5" customHeight="1">
      <c r="A36" s="884"/>
      <c r="B36" s="884"/>
      <c r="C36" s="487"/>
      <c r="D36" s="487"/>
      <c r="E36" s="890"/>
      <c r="F36" s="891"/>
      <c r="G36" s="487"/>
      <c r="H36" s="487"/>
      <c r="I36" s="890"/>
      <c r="J36" s="892"/>
      <c r="K36" s="892"/>
      <c r="L36" s="892"/>
      <c r="M36" s="892"/>
      <c r="N36" s="892"/>
      <c r="O36" s="892"/>
      <c r="P36" s="891"/>
      <c r="Q36" s="464"/>
      <c r="R36" s="465"/>
      <c r="S36" s="465"/>
    </row>
  </sheetData>
  <sheetProtection selectLockedCells="1" selectUnlockedCells="1"/>
  <mergeCells count="63">
    <mergeCell ref="A1:P1"/>
    <mergeCell ref="A16:A18"/>
    <mergeCell ref="B16:B18"/>
    <mergeCell ref="C16:C18"/>
    <mergeCell ref="D16:D18"/>
    <mergeCell ref="E16:E18"/>
    <mergeCell ref="F16:F18"/>
    <mergeCell ref="G16:G18"/>
    <mergeCell ref="H16:H18"/>
    <mergeCell ref="I16:I18"/>
    <mergeCell ref="J16:J18"/>
    <mergeCell ref="K16:K18"/>
    <mergeCell ref="L16:L18"/>
    <mergeCell ref="A19:A20"/>
    <mergeCell ref="B19:B20"/>
    <mergeCell ref="G19:J19"/>
    <mergeCell ref="K19:P19"/>
    <mergeCell ref="G20:J20"/>
    <mergeCell ref="K20:P20"/>
    <mergeCell ref="A21:A24"/>
    <mergeCell ref="B21:B24"/>
    <mergeCell ref="J21:M21"/>
    <mergeCell ref="N21:P21"/>
    <mergeCell ref="J22:M22"/>
    <mergeCell ref="N22:P22"/>
    <mergeCell ref="J23:M23"/>
    <mergeCell ref="N23:P23"/>
    <mergeCell ref="J24:M24"/>
    <mergeCell ref="N24:P24"/>
    <mergeCell ref="A25:A28"/>
    <mergeCell ref="B25:B28"/>
    <mergeCell ref="G25:H25"/>
    <mergeCell ref="N25:P25"/>
    <mergeCell ref="G26:H26"/>
    <mergeCell ref="N26:P26"/>
    <mergeCell ref="G27:H27"/>
    <mergeCell ref="N27:P27"/>
    <mergeCell ref="G28:H28"/>
    <mergeCell ref="N28:P28"/>
    <mergeCell ref="A29:A30"/>
    <mergeCell ref="B29:B30"/>
    <mergeCell ref="G29:H29"/>
    <mergeCell ref="I29:K29"/>
    <mergeCell ref="L29:P29"/>
    <mergeCell ref="G30:H30"/>
    <mergeCell ref="I30:K30"/>
    <mergeCell ref="L30:P30"/>
    <mergeCell ref="A31:A32"/>
    <mergeCell ref="B31:B32"/>
    <mergeCell ref="K31:P31"/>
    <mergeCell ref="K32:P32"/>
    <mergeCell ref="A33:A34"/>
    <mergeCell ref="B33:B34"/>
    <mergeCell ref="D33:E33"/>
    <mergeCell ref="I33:P33"/>
    <mergeCell ref="D34:E34"/>
    <mergeCell ref="I34:P34"/>
    <mergeCell ref="A35:A36"/>
    <mergeCell ref="B35:B36"/>
    <mergeCell ref="E35:F35"/>
    <mergeCell ref="I35:P35"/>
    <mergeCell ref="E36:F36"/>
    <mergeCell ref="I36:P36"/>
  </mergeCells>
  <pageMargins left="0.70866141732283472" right="0.70866141732283472" top="0.74803149606299213" bottom="0.74803149606299213" header="0.31496062992125984" footer="0.31496062992125984"/>
  <pageSetup paperSize="9" scale="62" fitToWidth="0" orientation="landscape" useFirstPageNumber="1" horizontalDpi="300" verticalDpi="300" r:id="rId1"/>
  <headerFooter alignWithMargins="0">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F8128-A510-47D5-8A60-679076230CFD}">
  <sheetPr>
    <tabColor theme="7" tint="-0.249977111117893"/>
  </sheetPr>
  <dimension ref="A3:G42"/>
  <sheetViews>
    <sheetView zoomScale="145" zoomScaleNormal="145" workbookViewId="0">
      <selection activeCell="A17" sqref="A17:G20"/>
    </sheetView>
  </sheetViews>
  <sheetFormatPr defaultColWidth="11.5703125" defaultRowHeight="12.75"/>
  <cols>
    <col min="1" max="6" width="11.5703125" style="388"/>
    <col min="7" max="7" width="40.5703125" style="388" customWidth="1"/>
    <col min="8" max="262" width="11.5703125" style="388"/>
    <col min="263" max="263" width="40.5703125" style="388" customWidth="1"/>
    <col min="264" max="518" width="11.5703125" style="388"/>
    <col min="519" max="519" width="40.5703125" style="388" customWidth="1"/>
    <col min="520" max="774" width="11.5703125" style="388"/>
    <col min="775" max="775" width="40.5703125" style="388" customWidth="1"/>
    <col min="776" max="1030" width="11.5703125" style="388"/>
    <col min="1031" max="1031" width="40.5703125" style="388" customWidth="1"/>
    <col min="1032" max="1286" width="11.5703125" style="388"/>
    <col min="1287" max="1287" width="40.5703125" style="388" customWidth="1"/>
    <col min="1288" max="1542" width="11.5703125" style="388"/>
    <col min="1543" max="1543" width="40.5703125" style="388" customWidth="1"/>
    <col min="1544" max="1798" width="11.5703125" style="388"/>
    <col min="1799" max="1799" width="40.5703125" style="388" customWidth="1"/>
    <col min="1800" max="2054" width="11.5703125" style="388"/>
    <col min="2055" max="2055" width="40.5703125" style="388" customWidth="1"/>
    <col min="2056" max="2310" width="11.5703125" style="388"/>
    <col min="2311" max="2311" width="40.5703125" style="388" customWidth="1"/>
    <col min="2312" max="2566" width="11.5703125" style="388"/>
    <col min="2567" max="2567" width="40.5703125" style="388" customWidth="1"/>
    <col min="2568" max="2822" width="11.5703125" style="388"/>
    <col min="2823" max="2823" width="40.5703125" style="388" customWidth="1"/>
    <col min="2824" max="3078" width="11.5703125" style="388"/>
    <col min="3079" max="3079" width="40.5703125" style="388" customWidth="1"/>
    <col min="3080" max="3334" width="11.5703125" style="388"/>
    <col min="3335" max="3335" width="40.5703125" style="388" customWidth="1"/>
    <col min="3336" max="3590" width="11.5703125" style="388"/>
    <col min="3591" max="3591" width="40.5703125" style="388" customWidth="1"/>
    <col min="3592" max="3846" width="11.5703125" style="388"/>
    <col min="3847" max="3847" width="40.5703125" style="388" customWidth="1"/>
    <col min="3848" max="4102" width="11.5703125" style="388"/>
    <col min="4103" max="4103" width="40.5703125" style="388" customWidth="1"/>
    <col min="4104" max="4358" width="11.5703125" style="388"/>
    <col min="4359" max="4359" width="40.5703125" style="388" customWidth="1"/>
    <col min="4360" max="4614" width="11.5703125" style="388"/>
    <col min="4615" max="4615" width="40.5703125" style="388" customWidth="1"/>
    <col min="4616" max="4870" width="11.5703125" style="388"/>
    <col min="4871" max="4871" width="40.5703125" style="388" customWidth="1"/>
    <col min="4872" max="5126" width="11.5703125" style="388"/>
    <col min="5127" max="5127" width="40.5703125" style="388" customWidth="1"/>
    <col min="5128" max="5382" width="11.5703125" style="388"/>
    <col min="5383" max="5383" width="40.5703125" style="388" customWidth="1"/>
    <col min="5384" max="5638" width="11.5703125" style="388"/>
    <col min="5639" max="5639" width="40.5703125" style="388" customWidth="1"/>
    <col min="5640" max="5894" width="11.5703125" style="388"/>
    <col min="5895" max="5895" width="40.5703125" style="388" customWidth="1"/>
    <col min="5896" max="6150" width="11.5703125" style="388"/>
    <col min="6151" max="6151" width="40.5703125" style="388" customWidth="1"/>
    <col min="6152" max="6406" width="11.5703125" style="388"/>
    <col min="6407" max="6407" width="40.5703125" style="388" customWidth="1"/>
    <col min="6408" max="6662" width="11.5703125" style="388"/>
    <col min="6663" max="6663" width="40.5703125" style="388" customWidth="1"/>
    <col min="6664" max="6918" width="11.5703125" style="388"/>
    <col min="6919" max="6919" width="40.5703125" style="388" customWidth="1"/>
    <col min="6920" max="7174" width="11.5703125" style="388"/>
    <col min="7175" max="7175" width="40.5703125" style="388" customWidth="1"/>
    <col min="7176" max="7430" width="11.5703125" style="388"/>
    <col min="7431" max="7431" width="40.5703125" style="388" customWidth="1"/>
    <col min="7432" max="7686" width="11.5703125" style="388"/>
    <col min="7687" max="7687" width="40.5703125" style="388" customWidth="1"/>
    <col min="7688" max="7942" width="11.5703125" style="388"/>
    <col min="7943" max="7943" width="40.5703125" style="388" customWidth="1"/>
    <col min="7944" max="8198" width="11.5703125" style="388"/>
    <col min="8199" max="8199" width="40.5703125" style="388" customWidth="1"/>
    <col min="8200" max="8454" width="11.5703125" style="388"/>
    <col min="8455" max="8455" width="40.5703125" style="388" customWidth="1"/>
    <col min="8456" max="8710" width="11.5703125" style="388"/>
    <col min="8711" max="8711" width="40.5703125" style="388" customWidth="1"/>
    <col min="8712" max="8966" width="11.5703125" style="388"/>
    <col min="8967" max="8967" width="40.5703125" style="388" customWidth="1"/>
    <col min="8968" max="9222" width="11.5703125" style="388"/>
    <col min="9223" max="9223" width="40.5703125" style="388" customWidth="1"/>
    <col min="9224" max="9478" width="11.5703125" style="388"/>
    <col min="9479" max="9479" width="40.5703125" style="388" customWidth="1"/>
    <col min="9480" max="9734" width="11.5703125" style="388"/>
    <col min="9735" max="9735" width="40.5703125" style="388" customWidth="1"/>
    <col min="9736" max="9990" width="11.5703125" style="388"/>
    <col min="9991" max="9991" width="40.5703125" style="388" customWidth="1"/>
    <col min="9992" max="10246" width="11.5703125" style="388"/>
    <col min="10247" max="10247" width="40.5703125" style="388" customWidth="1"/>
    <col min="10248" max="10502" width="11.5703125" style="388"/>
    <col min="10503" max="10503" width="40.5703125" style="388" customWidth="1"/>
    <col min="10504" max="10758" width="11.5703125" style="388"/>
    <col min="10759" max="10759" width="40.5703125" style="388" customWidth="1"/>
    <col min="10760" max="11014" width="11.5703125" style="388"/>
    <col min="11015" max="11015" width="40.5703125" style="388" customWidth="1"/>
    <col min="11016" max="11270" width="11.5703125" style="388"/>
    <col min="11271" max="11271" width="40.5703125" style="388" customWidth="1"/>
    <col min="11272" max="11526" width="11.5703125" style="388"/>
    <col min="11527" max="11527" width="40.5703125" style="388" customWidth="1"/>
    <col min="11528" max="11782" width="11.5703125" style="388"/>
    <col min="11783" max="11783" width="40.5703125" style="388" customWidth="1"/>
    <col min="11784" max="12038" width="11.5703125" style="388"/>
    <col min="12039" max="12039" width="40.5703125" style="388" customWidth="1"/>
    <col min="12040" max="12294" width="11.5703125" style="388"/>
    <col min="12295" max="12295" width="40.5703125" style="388" customWidth="1"/>
    <col min="12296" max="12550" width="11.5703125" style="388"/>
    <col min="12551" max="12551" width="40.5703125" style="388" customWidth="1"/>
    <col min="12552" max="12806" width="11.5703125" style="388"/>
    <col min="12807" max="12807" width="40.5703125" style="388" customWidth="1"/>
    <col min="12808" max="13062" width="11.5703125" style="388"/>
    <col min="13063" max="13063" width="40.5703125" style="388" customWidth="1"/>
    <col min="13064" max="13318" width="11.5703125" style="388"/>
    <col min="13319" max="13319" width="40.5703125" style="388" customWidth="1"/>
    <col min="13320" max="13574" width="11.5703125" style="388"/>
    <col min="13575" max="13575" width="40.5703125" style="388" customWidth="1"/>
    <col min="13576" max="13830" width="11.5703125" style="388"/>
    <col min="13831" max="13831" width="40.5703125" style="388" customWidth="1"/>
    <col min="13832" max="14086" width="11.5703125" style="388"/>
    <col min="14087" max="14087" width="40.5703125" style="388" customWidth="1"/>
    <col min="14088" max="14342" width="11.5703125" style="388"/>
    <col min="14343" max="14343" width="40.5703125" style="388" customWidth="1"/>
    <col min="14344" max="14598" width="11.5703125" style="388"/>
    <col min="14599" max="14599" width="40.5703125" style="388" customWidth="1"/>
    <col min="14600" max="14854" width="11.5703125" style="388"/>
    <col min="14855" max="14855" width="40.5703125" style="388" customWidth="1"/>
    <col min="14856" max="15110" width="11.5703125" style="388"/>
    <col min="15111" max="15111" width="40.5703125" style="388" customWidth="1"/>
    <col min="15112" max="15366" width="11.5703125" style="388"/>
    <col min="15367" max="15367" width="40.5703125" style="388" customWidth="1"/>
    <col min="15368" max="15622" width="11.5703125" style="388"/>
    <col min="15623" max="15623" width="40.5703125" style="388" customWidth="1"/>
    <col min="15624" max="15878" width="11.5703125" style="388"/>
    <col min="15879" max="15879" width="40.5703125" style="388" customWidth="1"/>
    <col min="15880" max="16134" width="11.5703125" style="388"/>
    <col min="16135" max="16135" width="40.5703125" style="388" customWidth="1"/>
    <col min="16136" max="16384" width="11.5703125" style="388"/>
  </cols>
  <sheetData>
    <row r="3" spans="1:7">
      <c r="A3" s="388" t="s">
        <v>369</v>
      </c>
    </row>
    <row r="5" spans="1:7">
      <c r="A5" s="934" t="s">
        <v>370</v>
      </c>
      <c r="B5" s="935"/>
      <c r="C5" s="935"/>
      <c r="D5" s="935"/>
      <c r="E5" s="935"/>
      <c r="F5" s="935"/>
      <c r="G5" s="936"/>
    </row>
    <row r="6" spans="1:7">
      <c r="A6" s="934"/>
      <c r="B6" s="935"/>
      <c r="C6" s="935"/>
      <c r="D6" s="935"/>
      <c r="E6" s="935"/>
      <c r="F6" s="935"/>
      <c r="G6" s="936"/>
    </row>
    <row r="7" spans="1:7">
      <c r="A7" s="934"/>
      <c r="B7" s="935"/>
      <c r="C7" s="935"/>
      <c r="D7" s="935"/>
      <c r="E7" s="935"/>
      <c r="F7" s="935"/>
      <c r="G7" s="936"/>
    </row>
    <row r="8" spans="1:7">
      <c r="A8" s="934"/>
      <c r="B8" s="935"/>
      <c r="C8" s="935"/>
      <c r="D8" s="935"/>
      <c r="E8" s="935"/>
      <c r="F8" s="935"/>
      <c r="G8" s="936"/>
    </row>
    <row r="9" spans="1:7">
      <c r="A9" s="934"/>
      <c r="B9" s="935"/>
      <c r="C9" s="935"/>
      <c r="D9" s="935"/>
      <c r="E9" s="935"/>
      <c r="F9" s="935"/>
      <c r="G9" s="936"/>
    </row>
    <row r="10" spans="1:7">
      <c r="A10" s="934"/>
      <c r="B10" s="935"/>
      <c r="C10" s="935"/>
      <c r="D10" s="935"/>
      <c r="E10" s="935"/>
      <c r="F10" s="935"/>
      <c r="G10" s="936"/>
    </row>
    <row r="11" spans="1:7">
      <c r="A11" s="934"/>
      <c r="B11" s="935"/>
      <c r="C11" s="935"/>
      <c r="D11" s="935"/>
      <c r="E11" s="935"/>
      <c r="F11" s="935"/>
      <c r="G11" s="936"/>
    </row>
    <row r="12" spans="1:7">
      <c r="A12" s="934"/>
      <c r="B12" s="935"/>
      <c r="C12" s="935"/>
      <c r="D12" s="935"/>
      <c r="E12" s="935"/>
      <c r="F12" s="935"/>
      <c r="G12" s="936"/>
    </row>
    <row r="13" spans="1:7">
      <c r="A13" s="930" t="s">
        <v>371</v>
      </c>
      <c r="B13" s="931"/>
      <c r="C13" s="931"/>
      <c r="D13" s="931"/>
      <c r="E13" s="931"/>
      <c r="F13" s="931"/>
      <c r="G13" s="932"/>
    </row>
    <row r="14" spans="1:7" ht="21.75" customHeight="1">
      <c r="A14" s="930"/>
      <c r="B14" s="931"/>
      <c r="C14" s="931"/>
      <c r="D14" s="931"/>
      <c r="E14" s="931"/>
      <c r="F14" s="931"/>
      <c r="G14" s="932"/>
    </row>
    <row r="15" spans="1:7">
      <c r="A15" s="930"/>
      <c r="B15" s="931"/>
      <c r="C15" s="931"/>
      <c r="D15" s="931"/>
      <c r="E15" s="931"/>
      <c r="F15" s="931"/>
      <c r="G15" s="932"/>
    </row>
    <row r="16" spans="1:7">
      <c r="A16" s="930"/>
      <c r="B16" s="931"/>
      <c r="C16" s="931"/>
      <c r="D16" s="931"/>
      <c r="E16" s="931"/>
      <c r="F16" s="931"/>
      <c r="G16" s="932"/>
    </row>
    <row r="17" spans="1:7" ht="24.75" customHeight="1">
      <c r="A17" s="930" t="s">
        <v>372</v>
      </c>
      <c r="B17" s="931"/>
      <c r="C17" s="931"/>
      <c r="D17" s="931"/>
      <c r="E17" s="931"/>
      <c r="F17" s="931"/>
      <c r="G17" s="932"/>
    </row>
    <row r="18" spans="1:7" ht="23.25" customHeight="1">
      <c r="A18" s="930"/>
      <c r="B18" s="931"/>
      <c r="C18" s="931"/>
      <c r="D18" s="931"/>
      <c r="E18" s="931"/>
      <c r="F18" s="931"/>
      <c r="G18" s="932"/>
    </row>
    <row r="19" spans="1:7">
      <c r="A19" s="930"/>
      <c r="B19" s="931"/>
      <c r="C19" s="931"/>
      <c r="D19" s="931"/>
      <c r="E19" s="931"/>
      <c r="F19" s="931"/>
      <c r="G19" s="932"/>
    </row>
    <row r="20" spans="1:7" ht="24.75" customHeight="1">
      <c r="A20" s="930"/>
      <c r="B20" s="931"/>
      <c r="C20" s="931"/>
      <c r="D20" s="931"/>
      <c r="E20" s="931"/>
      <c r="F20" s="931"/>
      <c r="G20" s="932"/>
    </row>
    <row r="21" spans="1:7">
      <c r="A21" s="930" t="s">
        <v>373</v>
      </c>
      <c r="B21" s="931"/>
      <c r="C21" s="931"/>
      <c r="D21" s="931"/>
      <c r="E21" s="931"/>
      <c r="F21" s="931"/>
      <c r="G21" s="932"/>
    </row>
    <row r="22" spans="1:7">
      <c r="A22" s="930"/>
      <c r="B22" s="931"/>
      <c r="C22" s="931"/>
      <c r="D22" s="931"/>
      <c r="E22" s="931"/>
      <c r="F22" s="931"/>
      <c r="G22" s="932"/>
    </row>
    <row r="23" spans="1:7">
      <c r="A23" s="930"/>
      <c r="B23" s="931"/>
      <c r="C23" s="931"/>
      <c r="D23" s="931"/>
      <c r="E23" s="931"/>
      <c r="F23" s="931"/>
      <c r="G23" s="932"/>
    </row>
    <row r="24" spans="1:7" ht="39.75" customHeight="1">
      <c r="A24" s="930"/>
      <c r="B24" s="931"/>
      <c r="C24" s="931"/>
      <c r="D24" s="931"/>
      <c r="E24" s="931"/>
      <c r="F24" s="931"/>
      <c r="G24" s="932"/>
    </row>
    <row r="25" spans="1:7">
      <c r="A25" s="930" t="s">
        <v>374</v>
      </c>
      <c r="B25" s="931"/>
      <c r="C25" s="931"/>
      <c r="D25" s="931"/>
      <c r="E25" s="931"/>
      <c r="F25" s="931"/>
      <c r="G25" s="932"/>
    </row>
    <row r="26" spans="1:7" ht="69" customHeight="1">
      <c r="A26" s="930"/>
      <c r="B26" s="931"/>
      <c r="C26" s="931"/>
      <c r="D26" s="931"/>
      <c r="E26" s="931"/>
      <c r="F26" s="931"/>
      <c r="G26" s="932"/>
    </row>
    <row r="27" spans="1:7">
      <c r="A27" s="930"/>
      <c r="B27" s="931"/>
      <c r="C27" s="931"/>
      <c r="D27" s="931"/>
      <c r="E27" s="931"/>
      <c r="F27" s="931"/>
      <c r="G27" s="932"/>
    </row>
    <row r="28" spans="1:7">
      <c r="A28" s="930"/>
      <c r="B28" s="931"/>
      <c r="C28" s="931"/>
      <c r="D28" s="931"/>
      <c r="E28" s="931"/>
      <c r="F28" s="931"/>
      <c r="G28" s="932"/>
    </row>
    <row r="29" spans="1:7">
      <c r="A29" s="930" t="s">
        <v>375</v>
      </c>
      <c r="B29" s="931"/>
      <c r="C29" s="931"/>
      <c r="D29" s="931"/>
      <c r="E29" s="931"/>
      <c r="F29" s="931"/>
      <c r="G29" s="932"/>
    </row>
    <row r="30" spans="1:7" ht="58.5" customHeight="1">
      <c r="A30" s="930"/>
      <c r="B30" s="931"/>
      <c r="C30" s="931"/>
      <c r="D30" s="931"/>
      <c r="E30" s="931"/>
      <c r="F30" s="931"/>
      <c r="G30" s="932"/>
    </row>
    <row r="31" spans="1:7">
      <c r="A31" s="930"/>
      <c r="B31" s="931"/>
      <c r="C31" s="931"/>
      <c r="D31" s="931"/>
      <c r="E31" s="931"/>
      <c r="F31" s="931"/>
      <c r="G31" s="932"/>
    </row>
    <row r="32" spans="1:7">
      <c r="A32" s="930"/>
      <c r="B32" s="931"/>
      <c r="C32" s="931"/>
      <c r="D32" s="931"/>
      <c r="E32" s="931"/>
      <c r="F32" s="931"/>
      <c r="G32" s="932"/>
    </row>
    <row r="33" spans="1:7">
      <c r="A33" s="930" t="s">
        <v>376</v>
      </c>
      <c r="B33" s="931"/>
      <c r="C33" s="931"/>
      <c r="D33" s="931"/>
      <c r="E33" s="931"/>
      <c r="F33" s="931"/>
      <c r="G33" s="932"/>
    </row>
    <row r="34" spans="1:7" ht="39" customHeight="1">
      <c r="A34" s="930"/>
      <c r="B34" s="931"/>
      <c r="C34" s="931"/>
      <c r="D34" s="931"/>
      <c r="E34" s="931"/>
      <c r="F34" s="931"/>
      <c r="G34" s="932"/>
    </row>
    <row r="35" spans="1:7">
      <c r="A35" s="930"/>
      <c r="B35" s="931"/>
      <c r="C35" s="931"/>
      <c r="D35" s="931"/>
      <c r="E35" s="931"/>
      <c r="F35" s="931"/>
      <c r="G35" s="932"/>
    </row>
    <row r="36" spans="1:7">
      <c r="A36" s="930"/>
      <c r="B36" s="931"/>
      <c r="C36" s="931"/>
      <c r="D36" s="931"/>
      <c r="E36" s="931"/>
      <c r="F36" s="931"/>
      <c r="G36" s="932"/>
    </row>
    <row r="37" spans="1:7">
      <c r="A37" s="930" t="s">
        <v>377</v>
      </c>
      <c r="B37" s="931"/>
      <c r="C37" s="931"/>
      <c r="D37" s="931"/>
      <c r="E37" s="931"/>
      <c r="F37" s="931"/>
      <c r="G37" s="932"/>
    </row>
    <row r="38" spans="1:7" ht="55.5" customHeight="1">
      <c r="A38" s="930"/>
      <c r="B38" s="931"/>
      <c r="C38" s="931"/>
      <c r="D38" s="931"/>
      <c r="E38" s="931"/>
      <c r="F38" s="931"/>
      <c r="G38" s="932"/>
    </row>
    <row r="39" spans="1:7">
      <c r="A39" s="930"/>
      <c r="B39" s="931"/>
      <c r="C39" s="931"/>
      <c r="D39" s="931"/>
      <c r="E39" s="931"/>
      <c r="F39" s="931"/>
      <c r="G39" s="932"/>
    </row>
    <row r="40" spans="1:7">
      <c r="A40" s="930"/>
      <c r="B40" s="931"/>
      <c r="C40" s="931"/>
      <c r="D40" s="931"/>
      <c r="E40" s="931"/>
      <c r="F40" s="931"/>
      <c r="G40" s="932"/>
    </row>
    <row r="42" spans="1:7">
      <c r="E42" s="933" t="s">
        <v>378</v>
      </c>
      <c r="F42" s="933"/>
      <c r="G42" s="933"/>
    </row>
  </sheetData>
  <sheetProtection selectLockedCells="1" selectUnlockedCells="1"/>
  <mergeCells count="9">
    <mergeCell ref="A33:G36"/>
    <mergeCell ref="A37:G40"/>
    <mergeCell ref="E42:G42"/>
    <mergeCell ref="A5:G12"/>
    <mergeCell ref="A13:G16"/>
    <mergeCell ref="A17:G20"/>
    <mergeCell ref="A21:G24"/>
    <mergeCell ref="A25:G28"/>
    <mergeCell ref="A29:G32"/>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66A80-1A16-4B5E-9B57-5D7DA694A4B8}">
  <sheetPr>
    <tabColor rgb="FFFFC000"/>
  </sheetPr>
  <dimension ref="A1:P7"/>
  <sheetViews>
    <sheetView zoomScale="130" zoomScaleNormal="130" workbookViewId="0">
      <selection activeCell="K22" sqref="K22"/>
    </sheetView>
  </sheetViews>
  <sheetFormatPr defaultRowHeight="15"/>
  <cols>
    <col min="1" max="1" width="8" style="490" customWidth="1"/>
    <col min="2" max="2" width="7.85546875" style="490" customWidth="1"/>
    <col min="3" max="3" width="8.7109375" style="490" customWidth="1"/>
    <col min="4" max="4" width="17.85546875" style="490" customWidth="1"/>
    <col min="5" max="9" width="9.140625" style="490"/>
    <col min="10" max="10" width="4.85546875" style="490" customWidth="1"/>
    <col min="11" max="11" width="9.7109375" style="490" customWidth="1"/>
    <col min="12" max="12" width="6.85546875" style="490" customWidth="1"/>
    <col min="13" max="13" width="5.28515625" style="490" customWidth="1"/>
    <col min="14" max="14" width="9.5703125" style="490" customWidth="1"/>
    <col min="15" max="15" width="8.42578125" style="490" customWidth="1"/>
    <col min="16" max="16" width="3.85546875" style="490" customWidth="1"/>
    <col min="17" max="16384" width="9.140625" style="490"/>
  </cols>
  <sheetData>
    <row r="1" spans="1:16" ht="35.25" customHeight="1">
      <c r="A1" s="977"/>
      <c r="B1" s="978"/>
      <c r="C1" s="978"/>
      <c r="D1" s="979"/>
      <c r="E1" s="980" t="s">
        <v>541</v>
      </c>
      <c r="F1" s="981"/>
      <c r="G1" s="981"/>
      <c r="H1" s="981"/>
      <c r="I1" s="981"/>
      <c r="J1" s="981"/>
      <c r="K1" s="982"/>
      <c r="L1" s="980"/>
      <c r="M1" s="981"/>
      <c r="N1" s="981"/>
      <c r="O1" s="981"/>
      <c r="P1" s="983"/>
    </row>
    <row r="2" spans="1:16" ht="12.75" customHeight="1" thickBot="1">
      <c r="A2" s="984"/>
      <c r="B2" s="985"/>
      <c r="C2" s="986"/>
      <c r="D2" s="987"/>
      <c r="E2" s="988"/>
      <c r="F2" s="989"/>
      <c r="G2" s="989"/>
      <c r="H2" s="989"/>
      <c r="I2" s="989"/>
      <c r="J2" s="989"/>
      <c r="K2" s="990"/>
      <c r="L2" s="991"/>
      <c r="M2" s="992"/>
      <c r="N2" s="992"/>
      <c r="O2" s="992"/>
      <c r="P2" s="993"/>
    </row>
    <row r="3" spans="1:16" ht="15" customHeight="1">
      <c r="A3" s="954" t="s">
        <v>379</v>
      </c>
      <c r="B3" s="955"/>
      <c r="C3" s="958" t="s">
        <v>380</v>
      </c>
      <c r="D3" s="958" t="s">
        <v>381</v>
      </c>
      <c r="E3" s="961" t="s">
        <v>382</v>
      </c>
      <c r="F3" s="962"/>
      <c r="G3" s="962"/>
      <c r="H3" s="962"/>
      <c r="I3" s="963"/>
      <c r="J3" s="967" t="s">
        <v>383</v>
      </c>
      <c r="K3" s="961" t="s">
        <v>384</v>
      </c>
      <c r="L3" s="970"/>
      <c r="M3" s="970"/>
      <c r="N3" s="970"/>
      <c r="O3" s="970"/>
      <c r="P3" s="971"/>
    </row>
    <row r="4" spans="1:16" ht="9" customHeight="1">
      <c r="A4" s="956"/>
      <c r="B4" s="957"/>
      <c r="C4" s="959"/>
      <c r="D4" s="959"/>
      <c r="E4" s="964"/>
      <c r="F4" s="965"/>
      <c r="G4" s="965"/>
      <c r="H4" s="965"/>
      <c r="I4" s="966"/>
      <c r="J4" s="968"/>
      <c r="K4" s="972"/>
      <c r="L4" s="973"/>
      <c r="M4" s="973"/>
      <c r="N4" s="973"/>
      <c r="O4" s="973"/>
      <c r="P4" s="974"/>
    </row>
    <row r="5" spans="1:16" ht="9" customHeight="1">
      <c r="A5" s="956"/>
      <c r="B5" s="957"/>
      <c r="C5" s="959"/>
      <c r="D5" s="959"/>
      <c r="E5" s="975" t="s">
        <v>385</v>
      </c>
      <c r="F5" s="941" t="s">
        <v>386</v>
      </c>
      <c r="G5" s="941" t="s">
        <v>387</v>
      </c>
      <c r="H5" s="941" t="s">
        <v>388</v>
      </c>
      <c r="I5" s="943" t="s">
        <v>389</v>
      </c>
      <c r="J5" s="968"/>
      <c r="K5" s="945" t="s">
        <v>390</v>
      </c>
      <c r="L5" s="946"/>
      <c r="M5" s="947"/>
      <c r="N5" s="948" t="s">
        <v>391</v>
      </c>
      <c r="O5" s="946"/>
      <c r="P5" s="949"/>
    </row>
    <row r="6" spans="1:16" ht="9.75" customHeight="1" thickBot="1">
      <c r="A6" s="956"/>
      <c r="B6" s="957"/>
      <c r="C6" s="960"/>
      <c r="D6" s="960"/>
      <c r="E6" s="976"/>
      <c r="F6" s="942"/>
      <c r="G6" s="942"/>
      <c r="H6" s="942"/>
      <c r="I6" s="944"/>
      <c r="J6" s="969"/>
      <c r="K6" s="491" t="s">
        <v>392</v>
      </c>
      <c r="L6" s="950" t="s">
        <v>393</v>
      </c>
      <c r="M6" s="951"/>
      <c r="N6" s="492" t="s">
        <v>392</v>
      </c>
      <c r="O6" s="952" t="s">
        <v>393</v>
      </c>
      <c r="P6" s="953"/>
    </row>
    <row r="7" spans="1:16" ht="11.45" customHeight="1">
      <c r="A7" s="938"/>
      <c r="B7" s="937"/>
      <c r="C7" s="493"/>
      <c r="D7" s="494"/>
      <c r="E7" s="495"/>
      <c r="F7" s="495"/>
      <c r="G7" s="495"/>
      <c r="H7" s="495"/>
      <c r="I7" s="495"/>
      <c r="J7" s="496"/>
      <c r="K7" s="497"/>
      <c r="L7" s="939"/>
      <c r="M7" s="940"/>
      <c r="N7" s="498"/>
      <c r="O7" s="939"/>
      <c r="P7" s="940"/>
    </row>
  </sheetData>
  <protectedRanges>
    <protectedRange sqref="K7" name="Obseg1_2"/>
  </protectedRanges>
  <mergeCells count="25">
    <mergeCell ref="A1:D1"/>
    <mergeCell ref="E1:K1"/>
    <mergeCell ref="L1:P1"/>
    <mergeCell ref="A2:B2"/>
    <mergeCell ref="C2:D2"/>
    <mergeCell ref="E2:K2"/>
    <mergeCell ref="L2:P2"/>
    <mergeCell ref="H5:H6"/>
    <mergeCell ref="I5:I6"/>
    <mergeCell ref="K5:M5"/>
    <mergeCell ref="N5:P5"/>
    <mergeCell ref="L6:M6"/>
    <mergeCell ref="O6:P6"/>
    <mergeCell ref="A3:B6"/>
    <mergeCell ref="C3:C6"/>
    <mergeCell ref="D3:D6"/>
    <mergeCell ref="E3:I4"/>
    <mergeCell ref="J3:J6"/>
    <mergeCell ref="K3:P4"/>
    <mergeCell ref="E5:E6"/>
    <mergeCell ref="F5:F6"/>
    <mergeCell ref="G5:G6"/>
    <mergeCell ref="A7:B7"/>
    <mergeCell ref="L7:M7"/>
    <mergeCell ref="O7:P7"/>
  </mergeCells>
  <pageMargins left="0.25" right="0.25"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D864C-0176-4E6F-9352-6EAF63C94701}">
  <sheetPr>
    <tabColor rgb="FFFFC000"/>
  </sheetPr>
  <dimension ref="A1:BK7"/>
  <sheetViews>
    <sheetView zoomScale="130" zoomScaleNormal="130" workbookViewId="0">
      <selection activeCell="K35" sqref="K35"/>
    </sheetView>
  </sheetViews>
  <sheetFormatPr defaultRowHeight="12.75"/>
  <cols>
    <col min="4" max="4" width="9.140625" customWidth="1"/>
    <col min="10" max="10" width="12.7109375" customWidth="1"/>
    <col min="11" max="11" width="18.85546875" customWidth="1"/>
    <col min="12" max="12" width="16.28515625" customWidth="1"/>
    <col min="13" max="13" width="17.7109375" customWidth="1"/>
  </cols>
  <sheetData>
    <row r="1" spans="1:63" ht="18">
      <c r="A1" s="977"/>
      <c r="B1" s="978"/>
      <c r="C1" s="978"/>
      <c r="D1" s="979"/>
      <c r="E1" s="980" t="s">
        <v>529</v>
      </c>
      <c r="F1" s="981"/>
      <c r="G1" s="981"/>
      <c r="H1" s="981"/>
      <c r="I1" s="981"/>
      <c r="J1" s="981"/>
      <c r="K1" s="982"/>
      <c r="L1" s="980"/>
      <c r="M1" s="981"/>
      <c r="N1" s="981"/>
      <c r="O1" s="981"/>
      <c r="P1" s="983"/>
    </row>
    <row r="2" spans="1:63" ht="13.5" thickBot="1">
      <c r="A2" s="1070"/>
      <c r="B2" s="1071"/>
      <c r="C2" s="1071"/>
      <c r="D2" s="1072"/>
      <c r="E2" s="1073"/>
      <c r="F2" s="1074"/>
      <c r="G2" s="1074"/>
      <c r="H2" s="989"/>
      <c r="I2" s="989"/>
      <c r="J2" s="989"/>
      <c r="K2" s="990"/>
      <c r="L2" s="991"/>
      <c r="M2" s="992"/>
      <c r="N2" s="992"/>
      <c r="O2" s="992"/>
      <c r="P2" s="993"/>
    </row>
    <row r="3" spans="1:63" ht="12.75" customHeight="1">
      <c r="A3" s="961" t="s">
        <v>384</v>
      </c>
      <c r="B3" s="970"/>
      <c r="C3" s="970"/>
      <c r="D3" s="970"/>
      <c r="E3" s="970"/>
      <c r="F3" s="971"/>
      <c r="G3" s="967" t="s">
        <v>528</v>
      </c>
      <c r="H3" s="954" t="s">
        <v>379</v>
      </c>
      <c r="I3" s="955"/>
      <c r="J3" s="958" t="s">
        <v>380</v>
      </c>
      <c r="K3" s="958" t="s">
        <v>381</v>
      </c>
      <c r="L3" s="1000" t="s">
        <v>395</v>
      </c>
      <c r="M3" s="1001"/>
      <c r="N3" s="961" t="s">
        <v>382</v>
      </c>
      <c r="O3" s="962"/>
      <c r="P3" s="962"/>
      <c r="Q3" s="962"/>
      <c r="R3" s="962"/>
      <c r="S3" s="962"/>
      <c r="T3" s="962"/>
      <c r="U3" s="962"/>
      <c r="V3" s="962"/>
      <c r="W3" s="962"/>
      <c r="X3" s="962"/>
      <c r="Y3" s="962"/>
      <c r="Z3" s="962"/>
      <c r="AA3" s="962"/>
      <c r="AB3" s="962"/>
      <c r="AC3" s="962"/>
      <c r="AD3" s="962"/>
      <c r="AE3" s="962"/>
      <c r="AF3" s="962"/>
      <c r="AG3" s="962"/>
      <c r="AH3" s="962"/>
      <c r="AI3" s="962"/>
      <c r="AJ3" s="962"/>
      <c r="AK3" s="962"/>
      <c r="AL3" s="962"/>
      <c r="AM3" s="962"/>
      <c r="AN3" s="962"/>
      <c r="AO3" s="962"/>
      <c r="AP3" s="962"/>
      <c r="AQ3" s="962"/>
      <c r="AR3" s="962"/>
      <c r="AS3" s="962"/>
      <c r="AT3" s="962"/>
      <c r="AU3" s="962"/>
      <c r="AV3" s="962"/>
      <c r="AW3" s="962"/>
      <c r="AX3" s="962"/>
      <c r="AY3" s="962"/>
      <c r="AZ3" s="962"/>
      <c r="BA3" s="962"/>
      <c r="BB3" s="962"/>
      <c r="BC3" s="962"/>
      <c r="BD3" s="962"/>
      <c r="BE3" s="962"/>
      <c r="BF3" s="962"/>
      <c r="BG3" s="962"/>
      <c r="BH3" s="962"/>
      <c r="BI3" s="962"/>
      <c r="BJ3" s="962"/>
      <c r="BK3" s="963"/>
    </row>
    <row r="4" spans="1:63" ht="13.5" thickBot="1">
      <c r="A4" s="972"/>
      <c r="B4" s="973"/>
      <c r="C4" s="973"/>
      <c r="D4" s="973"/>
      <c r="E4" s="973"/>
      <c r="F4" s="974"/>
      <c r="G4" s="968"/>
      <c r="H4" s="956"/>
      <c r="I4" s="957"/>
      <c r="J4" s="959"/>
      <c r="K4" s="959"/>
      <c r="L4" s="1002"/>
      <c r="M4" s="1003"/>
      <c r="N4" s="995"/>
      <c r="O4" s="996"/>
      <c r="P4" s="996"/>
      <c r="Q4" s="996"/>
      <c r="R4" s="996"/>
      <c r="S4" s="996"/>
      <c r="T4" s="996"/>
      <c r="U4" s="996"/>
      <c r="V4" s="996"/>
      <c r="W4" s="996"/>
      <c r="X4" s="996"/>
      <c r="Y4" s="996"/>
      <c r="Z4" s="996"/>
      <c r="AA4" s="996"/>
      <c r="AB4" s="996"/>
      <c r="AC4" s="996"/>
      <c r="AD4" s="996"/>
      <c r="AE4" s="996"/>
      <c r="AF4" s="996"/>
      <c r="AG4" s="996"/>
      <c r="AH4" s="996"/>
      <c r="AI4" s="996"/>
      <c r="AJ4" s="996"/>
      <c r="AK4" s="996"/>
      <c r="AL4" s="996"/>
      <c r="AM4" s="996"/>
      <c r="AN4" s="996"/>
      <c r="AO4" s="996"/>
      <c r="AP4" s="996"/>
      <c r="AQ4" s="996"/>
      <c r="AR4" s="996"/>
      <c r="AS4" s="996"/>
      <c r="AT4" s="996"/>
      <c r="AU4" s="996"/>
      <c r="AV4" s="996"/>
      <c r="AW4" s="996"/>
      <c r="AX4" s="996"/>
      <c r="AY4" s="996"/>
      <c r="AZ4" s="996"/>
      <c r="BA4" s="996"/>
      <c r="BB4" s="996"/>
      <c r="BC4" s="996"/>
      <c r="BD4" s="996"/>
      <c r="BE4" s="996"/>
      <c r="BF4" s="996"/>
      <c r="BG4" s="996"/>
      <c r="BH4" s="996"/>
      <c r="BI4" s="996"/>
      <c r="BJ4" s="996"/>
      <c r="BK4" s="997"/>
    </row>
    <row r="5" spans="1:63">
      <c r="A5" s="945" t="s">
        <v>390</v>
      </c>
      <c r="B5" s="946"/>
      <c r="C5" s="947"/>
      <c r="D5" s="948" t="s">
        <v>391</v>
      </c>
      <c r="E5" s="946"/>
      <c r="F5" s="949"/>
      <c r="G5" s="968"/>
      <c r="H5" s="956"/>
      <c r="I5" s="957"/>
      <c r="J5" s="959"/>
      <c r="K5" s="959"/>
      <c r="L5" s="1004" t="s">
        <v>396</v>
      </c>
      <c r="M5" s="1006" t="s">
        <v>397</v>
      </c>
      <c r="N5" s="998" t="s">
        <v>385</v>
      </c>
      <c r="O5" s="999" t="s">
        <v>386</v>
      </c>
      <c r="P5" s="999" t="s">
        <v>387</v>
      </c>
      <c r="Q5" s="999" t="s">
        <v>388</v>
      </c>
      <c r="R5" s="994" t="s">
        <v>389</v>
      </c>
      <c r="S5" s="994" t="s">
        <v>398</v>
      </c>
      <c r="T5" s="994" t="s">
        <v>399</v>
      </c>
      <c r="U5" s="994" t="s">
        <v>400</v>
      </c>
      <c r="V5" s="994" t="s">
        <v>401</v>
      </c>
      <c r="W5" s="994" t="s">
        <v>402</v>
      </c>
      <c r="X5" s="994" t="s">
        <v>403</v>
      </c>
      <c r="Y5" s="994" t="s">
        <v>404</v>
      </c>
      <c r="Z5" s="994" t="s">
        <v>405</v>
      </c>
      <c r="AA5" s="994" t="s">
        <v>406</v>
      </c>
      <c r="AB5" s="994" t="s">
        <v>407</v>
      </c>
      <c r="AC5" s="994" t="s">
        <v>408</v>
      </c>
      <c r="AD5" s="994" t="s">
        <v>409</v>
      </c>
      <c r="AE5" s="994" t="s">
        <v>410</v>
      </c>
      <c r="AF5" s="994" t="s">
        <v>411</v>
      </c>
      <c r="AG5" s="994" t="s">
        <v>412</v>
      </c>
      <c r="AH5" s="994" t="s">
        <v>413</v>
      </c>
      <c r="AI5" s="994" t="s">
        <v>414</v>
      </c>
      <c r="AJ5" s="994" t="s">
        <v>415</v>
      </c>
      <c r="AK5" s="994" t="s">
        <v>416</v>
      </c>
      <c r="AL5" s="994" t="s">
        <v>417</v>
      </c>
      <c r="AM5" s="994" t="s">
        <v>418</v>
      </c>
      <c r="AN5" s="994" t="s">
        <v>419</v>
      </c>
      <c r="AO5" s="994" t="s">
        <v>420</v>
      </c>
      <c r="AP5" s="994" t="s">
        <v>421</v>
      </c>
      <c r="AQ5" s="994" t="s">
        <v>422</v>
      </c>
      <c r="AR5" s="994" t="s">
        <v>423</v>
      </c>
      <c r="AS5" s="994" t="s">
        <v>424</v>
      </c>
      <c r="AT5" s="994" t="s">
        <v>425</v>
      </c>
      <c r="AU5" s="994" t="s">
        <v>426</v>
      </c>
      <c r="AV5" s="994" t="s">
        <v>427</v>
      </c>
      <c r="AW5" s="994" t="s">
        <v>428</v>
      </c>
      <c r="AX5" s="994" t="s">
        <v>429</v>
      </c>
      <c r="AY5" s="994" t="s">
        <v>430</v>
      </c>
      <c r="AZ5" s="994" t="s">
        <v>431</v>
      </c>
      <c r="BA5" s="994" t="s">
        <v>432</v>
      </c>
      <c r="BB5" s="994" t="s">
        <v>433</v>
      </c>
      <c r="BC5" s="994" t="s">
        <v>434</v>
      </c>
      <c r="BD5" s="994" t="s">
        <v>435</v>
      </c>
      <c r="BE5" s="994" t="s">
        <v>436</v>
      </c>
      <c r="BF5" s="994" t="s">
        <v>437</v>
      </c>
      <c r="BG5" s="994" t="s">
        <v>438</v>
      </c>
      <c r="BH5" s="994" t="s">
        <v>439</v>
      </c>
      <c r="BI5" s="994" t="s">
        <v>440</v>
      </c>
      <c r="BJ5" s="994" t="s">
        <v>441</v>
      </c>
      <c r="BK5" s="994" t="s">
        <v>442</v>
      </c>
    </row>
    <row r="6" spans="1:63" ht="13.5" thickBot="1">
      <c r="A6" s="514" t="s">
        <v>392</v>
      </c>
      <c r="B6" s="950" t="s">
        <v>393</v>
      </c>
      <c r="C6" s="951"/>
      <c r="D6" s="492" t="s">
        <v>392</v>
      </c>
      <c r="E6" s="952" t="s">
        <v>393</v>
      </c>
      <c r="F6" s="953"/>
      <c r="G6" s="969"/>
      <c r="H6" s="956"/>
      <c r="I6" s="957"/>
      <c r="J6" s="960"/>
      <c r="K6" s="960"/>
      <c r="L6" s="1005"/>
      <c r="M6" s="1007"/>
      <c r="N6" s="976"/>
      <c r="O6" s="942"/>
      <c r="P6" s="942"/>
      <c r="Q6" s="942"/>
      <c r="R6" s="944"/>
      <c r="S6" s="944"/>
      <c r="T6" s="944"/>
      <c r="U6" s="944"/>
      <c r="V6" s="944"/>
      <c r="W6" s="944"/>
      <c r="X6" s="944"/>
      <c r="Y6" s="944"/>
      <c r="Z6" s="944"/>
      <c r="AA6" s="944"/>
      <c r="AB6" s="944"/>
      <c r="AC6" s="944"/>
      <c r="AD6" s="944"/>
      <c r="AE6" s="944"/>
      <c r="AF6" s="944"/>
      <c r="AG6" s="944"/>
      <c r="AH6" s="944"/>
      <c r="AI6" s="944"/>
      <c r="AJ6" s="944"/>
      <c r="AK6" s="944"/>
      <c r="AL6" s="944"/>
      <c r="AM6" s="944"/>
      <c r="AN6" s="944"/>
      <c r="AO6" s="944"/>
      <c r="AP6" s="944"/>
      <c r="AQ6" s="944"/>
      <c r="AR6" s="944"/>
      <c r="AS6" s="944"/>
      <c r="AT6" s="944"/>
      <c r="AU6" s="944"/>
      <c r="AV6" s="944"/>
      <c r="AW6" s="944"/>
      <c r="AX6" s="944"/>
      <c r="AY6" s="944"/>
      <c r="AZ6" s="944"/>
      <c r="BA6" s="944"/>
      <c r="BB6" s="944"/>
      <c r="BC6" s="944"/>
      <c r="BD6" s="944"/>
      <c r="BE6" s="944"/>
      <c r="BF6" s="944"/>
      <c r="BG6" s="944"/>
      <c r="BH6" s="944"/>
      <c r="BI6" s="944"/>
      <c r="BJ6" s="944"/>
      <c r="BK6" s="944"/>
    </row>
    <row r="7" spans="1:63">
      <c r="A7" s="499"/>
      <c r="B7" s="939"/>
      <c r="C7" s="940"/>
      <c r="D7" s="498"/>
      <c r="E7" s="939"/>
      <c r="F7" s="940"/>
      <c r="G7" s="496"/>
      <c r="H7" s="938"/>
      <c r="I7" s="937"/>
      <c r="J7" s="493"/>
      <c r="K7" s="494"/>
      <c r="L7" s="515"/>
      <c r="M7" s="515"/>
      <c r="N7" s="515"/>
      <c r="O7" s="515"/>
      <c r="P7" s="515"/>
      <c r="Q7" s="515"/>
      <c r="R7" s="515"/>
      <c r="S7" s="515"/>
      <c r="T7" s="515"/>
      <c r="U7" s="515"/>
      <c r="V7" s="515"/>
      <c r="W7" s="515"/>
      <c r="X7" s="515"/>
      <c r="Y7" s="515"/>
      <c r="Z7" s="515"/>
      <c r="AA7" s="515"/>
      <c r="AB7" s="515"/>
      <c r="AC7" s="515"/>
      <c r="AD7" s="515"/>
      <c r="AE7" s="515"/>
      <c r="AF7" s="515"/>
      <c r="AG7" s="515"/>
      <c r="AH7" s="515"/>
      <c r="AI7" s="515"/>
      <c r="AJ7" s="515"/>
      <c r="AK7" s="515"/>
      <c r="AL7" s="515"/>
      <c r="AM7" s="515"/>
      <c r="AN7" s="515"/>
      <c r="AO7" s="515"/>
      <c r="AP7" s="515"/>
      <c r="AQ7" s="515"/>
      <c r="AR7" s="515"/>
      <c r="AS7" s="515"/>
      <c r="AT7" s="515"/>
      <c r="AU7" s="515"/>
      <c r="AV7" s="515"/>
      <c r="AW7" s="515"/>
      <c r="AX7" s="515"/>
      <c r="AY7" s="515"/>
      <c r="AZ7" s="515"/>
      <c r="BA7" s="515"/>
      <c r="BB7" s="515"/>
      <c r="BC7" s="515"/>
      <c r="BD7" s="515"/>
      <c r="BE7" s="515"/>
      <c r="BF7" s="515"/>
      <c r="BG7" s="515"/>
      <c r="BH7" s="515"/>
      <c r="BI7" s="515"/>
      <c r="BJ7" s="515"/>
      <c r="BK7" s="515"/>
    </row>
  </sheetData>
  <protectedRanges>
    <protectedRange sqref="A7" name="Obseg1_2"/>
  </protectedRanges>
  <mergeCells count="72">
    <mergeCell ref="A3:F4"/>
    <mergeCell ref="A5:C5"/>
    <mergeCell ref="D5:F5"/>
    <mergeCell ref="B6:C6"/>
    <mergeCell ref="A1:D1"/>
    <mergeCell ref="E1:K1"/>
    <mergeCell ref="L1:P1"/>
    <mergeCell ref="E2:K2"/>
    <mergeCell ref="L2:P2"/>
    <mergeCell ref="E6:F6"/>
    <mergeCell ref="G3:G6"/>
    <mergeCell ref="B7:C7"/>
    <mergeCell ref="E7:F7"/>
    <mergeCell ref="A2:D2"/>
    <mergeCell ref="H3:I6"/>
    <mergeCell ref="J3:J6"/>
    <mergeCell ref="K3:K6"/>
    <mergeCell ref="H7:I7"/>
    <mergeCell ref="L3:M4"/>
    <mergeCell ref="L5:L6"/>
    <mergeCell ref="M5:M6"/>
    <mergeCell ref="N5:N6"/>
    <mergeCell ref="O5:O6"/>
    <mergeCell ref="P5:P6"/>
    <mergeCell ref="Q5:Q6"/>
    <mergeCell ref="R5:R6"/>
    <mergeCell ref="Y5:Y6"/>
    <mergeCell ref="Z5:Z6"/>
    <mergeCell ref="AA5:AA6"/>
    <mergeCell ref="AB5:AB6"/>
    <mergeCell ref="AC5:AC6"/>
    <mergeCell ref="AD5:AD6"/>
    <mergeCell ref="S5:S6"/>
    <mergeCell ref="T5:T6"/>
    <mergeCell ref="U5:U6"/>
    <mergeCell ref="V5:V6"/>
    <mergeCell ref="W5:W6"/>
    <mergeCell ref="X5:X6"/>
    <mergeCell ref="AM5:AM6"/>
    <mergeCell ref="AN5:AN6"/>
    <mergeCell ref="AO5:AO6"/>
    <mergeCell ref="AP5:AP6"/>
    <mergeCell ref="AE5:AE6"/>
    <mergeCell ref="AF5:AF6"/>
    <mergeCell ref="AG5:AG6"/>
    <mergeCell ref="AH5:AH6"/>
    <mergeCell ref="AI5:AI6"/>
    <mergeCell ref="AJ5:AJ6"/>
    <mergeCell ref="BI5:BI6"/>
    <mergeCell ref="BJ5:BJ6"/>
    <mergeCell ref="BK5:BK6"/>
    <mergeCell ref="N3:BK4"/>
    <mergeCell ref="BC5:BC6"/>
    <mergeCell ref="BD5:BD6"/>
    <mergeCell ref="BE5:BE6"/>
    <mergeCell ref="BF5:BF6"/>
    <mergeCell ref="BG5:BG6"/>
    <mergeCell ref="BH5:BH6"/>
    <mergeCell ref="AW5:AW6"/>
    <mergeCell ref="AX5:AX6"/>
    <mergeCell ref="AY5:AY6"/>
    <mergeCell ref="AZ5:AZ6"/>
    <mergeCell ref="BA5:BA6"/>
    <mergeCell ref="BB5:BB6"/>
    <mergeCell ref="AQ5:AQ6"/>
    <mergeCell ref="AR5:AR6"/>
    <mergeCell ref="AS5:AS6"/>
    <mergeCell ref="AT5:AT6"/>
    <mergeCell ref="AU5:AU6"/>
    <mergeCell ref="AV5:AV6"/>
    <mergeCell ref="AK5:AK6"/>
    <mergeCell ref="AL5:AL6"/>
  </mergeCells>
  <phoneticPr fontId="79"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7AFDD-0FAB-405E-B0CC-A025B6FBD874}">
  <sheetPr>
    <tabColor rgb="FFFFC000"/>
  </sheetPr>
  <dimension ref="A1:C17"/>
  <sheetViews>
    <sheetView workbookViewId="0">
      <selection activeCell="O28" sqref="O28"/>
    </sheetView>
  </sheetViews>
  <sheetFormatPr defaultRowHeight="15"/>
  <cols>
    <col min="1" max="16384" width="9.140625" style="490"/>
  </cols>
  <sheetData>
    <row r="1" spans="1:3">
      <c r="A1" s="1008" t="s">
        <v>394</v>
      </c>
      <c r="B1" s="1009"/>
      <c r="C1" s="1010"/>
    </row>
    <row r="2" spans="1:3" ht="15.75" thickBot="1">
      <c r="A2" s="1011"/>
      <c r="B2" s="1012"/>
      <c r="C2" s="1013"/>
    </row>
    <row r="3" spans="1:3">
      <c r="A3" s="500"/>
      <c r="B3" s="501"/>
      <c r="C3" s="502"/>
    </row>
    <row r="4" spans="1:3">
      <c r="A4" s="500"/>
      <c r="B4" s="501"/>
      <c r="C4" s="503"/>
    </row>
    <row r="5" spans="1:3">
      <c r="A5" s="500"/>
      <c r="B5" s="501"/>
      <c r="C5" s="503"/>
    </row>
    <row r="6" spans="1:3">
      <c r="A6" s="500"/>
      <c r="B6" s="504"/>
      <c r="C6" s="505"/>
    </row>
    <row r="7" spans="1:3">
      <c r="A7" s="500"/>
      <c r="B7" s="504"/>
      <c r="C7" s="505"/>
    </row>
    <row r="8" spans="1:3">
      <c r="A8" s="500"/>
      <c r="B8" s="501"/>
      <c r="C8" s="503"/>
    </row>
    <row r="9" spans="1:3">
      <c r="A9" s="500"/>
      <c r="B9" s="504"/>
      <c r="C9" s="505"/>
    </row>
    <row r="10" spans="1:3">
      <c r="A10" s="500"/>
      <c r="B10" s="504"/>
      <c r="C10" s="505"/>
    </row>
    <row r="11" spans="1:3">
      <c r="A11" s="500"/>
      <c r="B11" s="501"/>
      <c r="C11" s="503"/>
    </row>
    <row r="12" spans="1:3">
      <c r="A12" s="506"/>
      <c r="B12" s="504"/>
      <c r="C12" s="505"/>
    </row>
    <row r="13" spans="1:3">
      <c r="A13" s="506"/>
      <c r="B13" s="504"/>
      <c r="C13" s="505"/>
    </row>
    <row r="14" spans="1:3">
      <c r="A14" s="507"/>
      <c r="B14" s="508"/>
      <c r="C14" s="509"/>
    </row>
    <row r="15" spans="1:3">
      <c r="A15" s="500"/>
      <c r="B15" s="501"/>
      <c r="C15" s="503"/>
    </row>
    <row r="16" spans="1:3">
      <c r="A16" s="500"/>
      <c r="B16" s="501"/>
      <c r="C16" s="510"/>
    </row>
    <row r="17" spans="1:3" ht="15.75" thickBot="1">
      <c r="A17" s="511"/>
      <c r="B17" s="512"/>
      <c r="C17" s="513"/>
    </row>
  </sheetData>
  <protectedRanges>
    <protectedRange sqref="A1:A11 A15:A17 B16 B17:C17 B14:C15 B11:C11 B8:C8 B1:C5" name="Obseg1"/>
  </protectedRanges>
  <mergeCells count="1">
    <mergeCell ref="A1:C2"/>
  </mergeCells>
  <conditionalFormatting sqref="C14">
    <cfRule type="cellIs" dxfId="5" priority="1" stopIfTrue="1" operator="equal">
      <formula>#REF!</formula>
    </cfRule>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9799E-DF06-4894-AF21-5769C3854457}">
  <sheetPr>
    <tabColor rgb="FFC00000"/>
  </sheetPr>
  <dimension ref="A1:AMJ92"/>
  <sheetViews>
    <sheetView topLeftCell="A22" workbookViewId="0">
      <selection activeCell="AB43" sqref="AB43"/>
    </sheetView>
  </sheetViews>
  <sheetFormatPr defaultRowHeight="14.25"/>
  <cols>
    <col min="1" max="1" width="3.7109375" style="542" customWidth="1"/>
    <col min="2" max="2" width="13.140625" style="542" customWidth="1"/>
    <col min="3" max="3" width="6.85546875" style="542" customWidth="1"/>
    <col min="4" max="4" width="4.5703125" style="542" customWidth="1"/>
    <col min="5" max="5" width="8.85546875" style="542" customWidth="1"/>
    <col min="6" max="6" width="6.7109375" style="542" customWidth="1"/>
    <col min="7" max="7" width="8.28515625" style="542" customWidth="1"/>
    <col min="8" max="8" width="8.5703125" style="542" customWidth="1"/>
    <col min="9" max="9" width="8.28515625" style="542" customWidth="1"/>
    <col min="10" max="10" width="8.7109375" style="542" customWidth="1"/>
    <col min="11" max="11" width="8" style="542" customWidth="1"/>
    <col min="12" max="12" width="6.85546875" style="542" customWidth="1"/>
    <col min="13" max="13" width="7.5703125" style="542" customWidth="1"/>
    <col min="14" max="14" width="7.140625" style="542" customWidth="1"/>
    <col min="15" max="29" width="9.7109375" style="540" customWidth="1"/>
    <col min="30" max="1024" width="9.7109375" style="542" customWidth="1"/>
    <col min="1025" max="16384" width="9.140625" style="587"/>
  </cols>
  <sheetData>
    <row r="1" spans="1:33" ht="12" customHeight="1">
      <c r="A1" s="540"/>
      <c r="B1" s="540"/>
      <c r="C1" s="540"/>
      <c r="D1" s="540"/>
      <c r="E1" s="1050" t="s">
        <v>444</v>
      </c>
      <c r="F1" s="1050"/>
      <c r="G1" s="1050"/>
      <c r="H1" s="1050"/>
      <c r="I1" s="1050"/>
      <c r="J1" s="1050"/>
      <c r="K1" s="541"/>
      <c r="L1" s="541"/>
      <c r="M1" s="541"/>
      <c r="N1" s="541"/>
    </row>
    <row r="2" spans="1:33" ht="10.5" customHeight="1">
      <c r="A2" s="540"/>
      <c r="B2" s="540"/>
      <c r="C2" s="540"/>
      <c r="D2" s="543"/>
      <c r="E2" s="1050"/>
      <c r="F2" s="1050"/>
      <c r="G2" s="1050"/>
      <c r="H2" s="1050"/>
      <c r="I2" s="1050"/>
      <c r="J2" s="1050"/>
      <c r="K2" s="541"/>
      <c r="L2" s="541"/>
      <c r="M2" s="541"/>
      <c r="N2" s="541"/>
    </row>
    <row r="3" spans="1:33" ht="11.25" customHeight="1">
      <c r="A3" s="1051"/>
      <c r="B3" s="1051"/>
      <c r="C3" s="1051"/>
      <c r="D3" s="544"/>
      <c r="E3" s="544"/>
      <c r="F3" s="544"/>
      <c r="G3" s="544"/>
      <c r="H3" s="544"/>
      <c r="I3" s="544"/>
      <c r="J3" s="544"/>
      <c r="K3" s="541"/>
      <c r="L3" s="541"/>
      <c r="M3" s="541"/>
      <c r="N3" s="541"/>
    </row>
    <row r="4" spans="1:33" ht="12" customHeight="1">
      <c r="A4" s="540"/>
      <c r="B4" s="540"/>
      <c r="C4" s="545"/>
      <c r="D4" s="544"/>
      <c r="E4" s="546" t="s">
        <v>445</v>
      </c>
      <c r="F4" s="1052"/>
      <c r="G4" s="1052"/>
      <c r="H4" s="1052"/>
      <c r="I4" s="1052"/>
      <c r="J4" s="1052"/>
      <c r="K4" s="540"/>
      <c r="L4" s="540"/>
      <c r="M4" s="540"/>
      <c r="N4" s="540"/>
    </row>
    <row r="5" spans="1:33" ht="12" customHeight="1">
      <c r="A5" s="540"/>
      <c r="B5" s="540"/>
      <c r="C5" s="545"/>
      <c r="D5" s="544"/>
      <c r="E5" s="546" t="s">
        <v>446</v>
      </c>
      <c r="F5" s="1053"/>
      <c r="G5" s="1053"/>
      <c r="H5" s="1053"/>
      <c r="I5" s="1053"/>
      <c r="J5" s="1053"/>
      <c r="K5" s="547" t="s">
        <v>447</v>
      </c>
      <c r="L5" s="1054"/>
      <c r="M5" s="1054"/>
      <c r="N5" s="1054"/>
    </row>
    <row r="6" spans="1:33" ht="12" customHeight="1">
      <c r="A6" s="545"/>
      <c r="B6" s="545"/>
      <c r="C6" s="548"/>
      <c r="D6" s="548"/>
      <c r="E6" s="547" t="s">
        <v>448</v>
      </c>
      <c r="F6" s="1055"/>
      <c r="G6" s="1055"/>
      <c r="H6" s="1055"/>
      <c r="I6" s="1055"/>
      <c r="J6" s="1055"/>
      <c r="K6" s="547" t="s">
        <v>449</v>
      </c>
      <c r="L6" s="1055"/>
      <c r="M6" s="1055"/>
      <c r="N6" s="1055"/>
    </row>
    <row r="7" spans="1:33" ht="5.25" customHeight="1">
      <c r="A7" s="540"/>
      <c r="B7" s="540"/>
      <c r="C7" s="540"/>
      <c r="D7" s="540"/>
      <c r="E7" s="540"/>
      <c r="F7" s="540"/>
      <c r="G7" s="540"/>
      <c r="H7" s="540"/>
      <c r="I7" s="540"/>
      <c r="J7" s="540"/>
      <c r="K7" s="549"/>
      <c r="L7" s="549"/>
      <c r="M7" s="549"/>
      <c r="N7" s="549"/>
    </row>
    <row r="8" spans="1:33" s="551" customFormat="1" ht="15.75" customHeight="1">
      <c r="A8" s="1021" t="s">
        <v>450</v>
      </c>
      <c r="B8" s="1021"/>
      <c r="C8" s="1021"/>
      <c r="D8" s="1021"/>
      <c r="E8" s="1021"/>
      <c r="F8" s="1021"/>
      <c r="G8" s="1021"/>
      <c r="H8" s="1021"/>
      <c r="I8" s="1021"/>
      <c r="J8" s="1021"/>
      <c r="K8" s="1021"/>
      <c r="L8" s="1021"/>
      <c r="M8" s="1021"/>
      <c r="N8" s="1021"/>
      <c r="O8" s="550"/>
      <c r="P8" s="550"/>
      <c r="Q8" s="550"/>
      <c r="R8" s="550"/>
      <c r="S8" s="550"/>
      <c r="T8" s="550"/>
      <c r="U8" s="550"/>
      <c r="V8" s="550"/>
      <c r="W8" s="550"/>
      <c r="X8" s="550"/>
      <c r="Y8" s="550"/>
      <c r="Z8" s="550"/>
      <c r="AA8" s="550"/>
      <c r="AB8" s="550"/>
      <c r="AC8" s="550"/>
    </row>
    <row r="9" spans="1:33" s="551" customFormat="1" ht="12.75" customHeight="1">
      <c r="A9" s="1049" t="s">
        <v>451</v>
      </c>
      <c r="B9" s="1049"/>
      <c r="C9" s="1048"/>
      <c r="D9" s="1048"/>
      <c r="E9" s="1048"/>
      <c r="F9" s="1048"/>
      <c r="G9" s="1048"/>
      <c r="H9" s="1046" t="s">
        <v>452</v>
      </c>
      <c r="I9" s="1046"/>
      <c r="J9" s="1025"/>
      <c r="K9" s="1025"/>
      <c r="L9" s="1025"/>
      <c r="M9" s="1025"/>
      <c r="N9" s="1025"/>
      <c r="O9" s="550"/>
      <c r="P9" s="550"/>
      <c r="Q9" s="550"/>
      <c r="R9" s="550"/>
      <c r="S9" s="550"/>
      <c r="T9" s="550"/>
      <c r="U9" s="550"/>
      <c r="V9" s="550"/>
      <c r="W9" s="550"/>
      <c r="X9" s="550"/>
      <c r="Y9" s="550"/>
      <c r="Z9" s="550"/>
      <c r="AA9" s="550"/>
      <c r="AB9" s="550"/>
      <c r="AC9" s="550"/>
    </row>
    <row r="10" spans="1:33" s="551" customFormat="1" ht="12.75" customHeight="1">
      <c r="A10" s="1049" t="s">
        <v>453</v>
      </c>
      <c r="B10" s="1049"/>
      <c r="C10" s="1025"/>
      <c r="D10" s="1025"/>
      <c r="E10" s="1025"/>
      <c r="F10" s="1025"/>
      <c r="G10" s="1025"/>
      <c r="H10" s="1046" t="s">
        <v>454</v>
      </c>
      <c r="I10" s="1046"/>
      <c r="J10" s="1025"/>
      <c r="K10" s="1025"/>
      <c r="L10" s="1025"/>
      <c r="M10" s="1025"/>
      <c r="N10" s="1025"/>
      <c r="O10" s="550"/>
      <c r="P10" s="550"/>
      <c r="Q10" s="550"/>
      <c r="R10" s="550"/>
      <c r="S10" s="550"/>
      <c r="T10" s="550"/>
      <c r="U10" s="550"/>
      <c r="V10" s="550"/>
      <c r="W10" s="550"/>
      <c r="X10" s="550"/>
      <c r="Y10" s="550"/>
      <c r="Z10" s="550"/>
      <c r="AA10" s="550"/>
      <c r="AB10" s="550"/>
      <c r="AC10" s="550"/>
      <c r="AF10" s="552"/>
    </row>
    <row r="11" spans="1:33" s="551" customFormat="1" ht="12.75" customHeight="1">
      <c r="A11" s="1046" t="s">
        <v>455</v>
      </c>
      <c r="B11" s="1046"/>
      <c r="C11" s="1047"/>
      <c r="D11" s="1047"/>
      <c r="E11" s="1047"/>
      <c r="F11" s="1047"/>
      <c r="G11" s="1047"/>
      <c r="H11" s="1046" t="s">
        <v>456</v>
      </c>
      <c r="I11" s="1046"/>
      <c r="J11" s="1025"/>
      <c r="K11" s="1025"/>
      <c r="L11" s="1025"/>
      <c r="M11" s="1025"/>
      <c r="N11" s="1025"/>
      <c r="O11" s="550"/>
      <c r="P11" s="550"/>
      <c r="Q11" s="550"/>
      <c r="R11" s="550"/>
      <c r="S11" s="550"/>
      <c r="T11" s="550"/>
      <c r="U11" s="550"/>
      <c r="V11" s="550"/>
      <c r="W11" s="550"/>
      <c r="X11" s="550"/>
      <c r="Y11" s="550"/>
      <c r="Z11" s="550"/>
      <c r="AA11" s="550"/>
      <c r="AB11" s="550"/>
      <c r="AC11" s="550"/>
      <c r="AF11" s="552"/>
    </row>
    <row r="12" spans="1:33" ht="12.75" customHeight="1">
      <c r="A12" s="1046" t="s">
        <v>457</v>
      </c>
      <c r="B12" s="1046"/>
      <c r="C12" s="1025"/>
      <c r="D12" s="1025"/>
      <c r="E12" s="1025"/>
      <c r="F12" s="1025"/>
      <c r="G12" s="1025"/>
      <c r="H12" s="1046" t="s">
        <v>458</v>
      </c>
      <c r="I12" s="1046"/>
      <c r="J12" s="1048"/>
      <c r="K12" s="1048"/>
      <c r="L12" s="1048"/>
      <c r="M12" s="1048"/>
      <c r="N12" s="1048"/>
      <c r="AF12" s="552"/>
      <c r="AG12" s="551"/>
    </row>
    <row r="13" spans="1:33" s="551" customFormat="1" ht="12.75" customHeight="1">
      <c r="A13" s="1046" t="s">
        <v>459</v>
      </c>
      <c r="B13" s="1046"/>
      <c r="C13" s="1047"/>
      <c r="D13" s="1047"/>
      <c r="E13" s="1047"/>
      <c r="F13" s="1047"/>
      <c r="G13" s="1047"/>
      <c r="H13" s="1046" t="s">
        <v>460</v>
      </c>
      <c r="I13" s="1046"/>
      <c r="J13" s="1048"/>
      <c r="K13" s="1048"/>
      <c r="L13" s="1048"/>
      <c r="M13" s="1048"/>
      <c r="N13" s="1048"/>
      <c r="O13" s="550"/>
      <c r="P13" s="550"/>
      <c r="Q13" s="550"/>
      <c r="R13" s="550"/>
      <c r="S13" s="550"/>
      <c r="T13" s="550"/>
      <c r="U13" s="550"/>
      <c r="V13" s="550"/>
      <c r="W13" s="550"/>
      <c r="X13" s="550"/>
      <c r="Y13" s="550"/>
      <c r="Z13" s="550"/>
      <c r="AA13" s="550"/>
      <c r="AB13" s="550"/>
      <c r="AC13" s="550"/>
    </row>
    <row r="14" spans="1:33" s="551" customFormat="1" ht="12.75" customHeight="1">
      <c r="A14" s="1046" t="s">
        <v>461</v>
      </c>
      <c r="B14" s="1046"/>
      <c r="C14" s="1048"/>
      <c r="D14" s="1048"/>
      <c r="E14" s="1048"/>
      <c r="F14" s="1048"/>
      <c r="G14" s="1048"/>
      <c r="H14" s="1046" t="s">
        <v>462</v>
      </c>
      <c r="I14" s="1046"/>
      <c r="J14" s="1048"/>
      <c r="K14" s="1048"/>
      <c r="L14" s="1048"/>
      <c r="M14" s="1048"/>
      <c r="N14" s="1048"/>
      <c r="O14" s="550"/>
      <c r="P14" s="550"/>
      <c r="Q14" s="550"/>
      <c r="R14" s="550"/>
      <c r="S14" s="550"/>
      <c r="T14" s="550"/>
      <c r="U14" s="550"/>
      <c r="V14" s="550"/>
      <c r="W14" s="550"/>
      <c r="X14" s="550"/>
      <c r="Y14" s="550"/>
      <c r="Z14" s="550"/>
      <c r="AA14" s="550"/>
      <c r="AB14" s="550"/>
      <c r="AC14" s="550"/>
    </row>
    <row r="15" spans="1:33" s="554" customFormat="1" ht="36" customHeight="1">
      <c r="A15" s="1043" t="s">
        <v>463</v>
      </c>
      <c r="B15" s="1043"/>
      <c r="C15" s="1043"/>
      <c r="D15" s="1043"/>
      <c r="E15" s="1043"/>
      <c r="F15" s="1043"/>
      <c r="G15" s="1043"/>
      <c r="H15" s="1043"/>
      <c r="I15" s="1043"/>
      <c r="J15" s="1043"/>
      <c r="K15" s="1043"/>
      <c r="L15" s="1043"/>
      <c r="M15" s="1043"/>
      <c r="N15" s="1043"/>
      <c r="O15" s="553"/>
      <c r="P15" s="553"/>
      <c r="Q15" s="553"/>
      <c r="R15" s="553"/>
      <c r="S15" s="553"/>
      <c r="T15" s="553"/>
      <c r="U15" s="553"/>
      <c r="V15" s="553"/>
      <c r="W15" s="553"/>
      <c r="X15" s="553"/>
      <c r="Y15" s="553"/>
      <c r="Z15" s="553"/>
      <c r="AA15" s="553"/>
      <c r="AB15" s="553"/>
      <c r="AC15" s="553"/>
    </row>
    <row r="16" spans="1:33" s="551" customFormat="1" ht="11.25" customHeight="1">
      <c r="A16" s="1044" t="s">
        <v>464</v>
      </c>
      <c r="B16" s="1044"/>
      <c r="C16" s="1044"/>
      <c r="D16" s="1044"/>
      <c r="E16" s="1044"/>
      <c r="F16" s="1044"/>
      <c r="G16" s="1044"/>
      <c r="H16" s="1025"/>
      <c r="I16" s="1025"/>
      <c r="J16" s="1025"/>
      <c r="K16" s="1025"/>
      <c r="L16" s="1025"/>
      <c r="M16" s="1025"/>
      <c r="N16" s="1025"/>
      <c r="O16" s="550"/>
      <c r="P16" s="550"/>
      <c r="Q16" s="550"/>
      <c r="R16" s="550"/>
      <c r="S16" s="550"/>
      <c r="T16" s="550"/>
      <c r="U16" s="550"/>
      <c r="V16" s="550"/>
      <c r="W16" s="550"/>
      <c r="X16" s="550"/>
      <c r="Y16" s="550"/>
      <c r="Z16" s="550"/>
      <c r="AA16" s="550"/>
      <c r="AB16" s="550"/>
      <c r="AC16" s="550"/>
    </row>
    <row r="17" spans="1:29" ht="12.75" customHeight="1">
      <c r="A17" s="1044"/>
      <c r="B17" s="1044"/>
      <c r="C17" s="1044"/>
      <c r="D17" s="1044"/>
      <c r="E17" s="1044"/>
      <c r="F17" s="1044"/>
      <c r="G17" s="1044"/>
      <c r="H17" s="1025"/>
      <c r="I17" s="1025"/>
      <c r="J17" s="1025"/>
      <c r="K17" s="1025"/>
      <c r="L17" s="1025"/>
      <c r="M17" s="1025"/>
      <c r="N17" s="1025"/>
    </row>
    <row r="18" spans="1:29" s="551" customFormat="1" ht="12.75" customHeight="1">
      <c r="A18" s="1044"/>
      <c r="B18" s="1044"/>
      <c r="C18" s="1044"/>
      <c r="D18" s="1044"/>
      <c r="E18" s="1044"/>
      <c r="F18" s="1044"/>
      <c r="G18" s="1044"/>
      <c r="H18" s="1025"/>
      <c r="I18" s="1025"/>
      <c r="J18" s="1025"/>
      <c r="K18" s="1025"/>
      <c r="L18" s="1025"/>
      <c r="M18" s="1025"/>
      <c r="N18" s="1025"/>
      <c r="O18" s="550"/>
      <c r="P18" s="550"/>
      <c r="Q18" s="550"/>
      <c r="R18" s="550"/>
      <c r="S18" s="550"/>
      <c r="T18" s="550"/>
      <c r="U18" s="550"/>
      <c r="V18" s="550"/>
      <c r="W18" s="550"/>
      <c r="X18" s="550"/>
      <c r="Y18" s="550"/>
      <c r="Z18" s="550"/>
      <c r="AA18" s="550"/>
      <c r="AB18" s="550"/>
      <c r="AC18" s="550"/>
    </row>
    <row r="19" spans="1:29" ht="12.75" customHeight="1">
      <c r="A19" s="1044"/>
      <c r="B19" s="1044"/>
      <c r="C19" s="1044"/>
      <c r="D19" s="1044"/>
      <c r="E19" s="1044"/>
      <c r="F19" s="1044"/>
      <c r="G19" s="1044"/>
      <c r="H19" s="1025"/>
      <c r="I19" s="1025"/>
      <c r="J19" s="1025"/>
      <c r="K19" s="1025"/>
      <c r="L19" s="1025"/>
      <c r="M19" s="1025"/>
      <c r="N19" s="1025"/>
    </row>
    <row r="20" spans="1:29" ht="12.75" customHeight="1">
      <c r="A20" s="1044"/>
      <c r="B20" s="1044"/>
      <c r="C20" s="1044"/>
      <c r="D20" s="1044"/>
      <c r="E20" s="1044"/>
      <c r="F20" s="1044"/>
      <c r="G20" s="1044"/>
      <c r="H20" s="1025"/>
      <c r="I20" s="1025"/>
      <c r="J20" s="1025"/>
      <c r="K20" s="1025"/>
      <c r="L20" s="1025"/>
      <c r="M20" s="1025"/>
      <c r="N20" s="1025"/>
    </row>
    <row r="21" spans="1:29" s="551" customFormat="1" ht="12.75" customHeight="1">
      <c r="A21" s="1044"/>
      <c r="B21" s="1044"/>
      <c r="C21" s="1044"/>
      <c r="D21" s="1044"/>
      <c r="E21" s="1044"/>
      <c r="F21" s="1044"/>
      <c r="G21" s="1044"/>
      <c r="H21" s="1025"/>
      <c r="I21" s="1025"/>
      <c r="J21" s="1025"/>
      <c r="K21" s="1025"/>
      <c r="L21" s="1025"/>
      <c r="M21" s="1025"/>
      <c r="N21" s="1025"/>
      <c r="O21" s="550"/>
      <c r="P21" s="550"/>
      <c r="Q21" s="550"/>
      <c r="R21" s="550"/>
      <c r="S21" s="550"/>
      <c r="T21" s="550"/>
      <c r="U21" s="550"/>
      <c r="V21" s="550"/>
      <c r="W21" s="550"/>
      <c r="X21" s="550"/>
      <c r="Y21" s="550"/>
      <c r="Z21" s="550"/>
      <c r="AA21" s="550"/>
      <c r="AB21" s="550"/>
      <c r="AC21" s="550"/>
    </row>
    <row r="22" spans="1:29" ht="12.75" customHeight="1">
      <c r="A22" s="1044"/>
      <c r="B22" s="1044"/>
      <c r="C22" s="1044"/>
      <c r="D22" s="1044"/>
      <c r="E22" s="1044"/>
      <c r="F22" s="1044"/>
      <c r="G22" s="1044"/>
      <c r="H22" s="1025"/>
      <c r="I22" s="1025"/>
      <c r="J22" s="1025"/>
      <c r="K22" s="1025"/>
      <c r="L22" s="1025"/>
      <c r="M22" s="1025"/>
      <c r="N22" s="1025"/>
    </row>
    <row r="23" spans="1:29" s="551" customFormat="1" ht="12.75" customHeight="1">
      <c r="A23" s="1044"/>
      <c r="B23" s="1044"/>
      <c r="C23" s="1044"/>
      <c r="D23" s="1044"/>
      <c r="E23" s="1044"/>
      <c r="F23" s="1044"/>
      <c r="G23" s="1044"/>
      <c r="H23" s="1025"/>
      <c r="I23" s="1025"/>
      <c r="J23" s="1025"/>
      <c r="K23" s="1025"/>
      <c r="L23" s="1025"/>
      <c r="M23" s="1025"/>
      <c r="N23" s="1025"/>
      <c r="O23" s="550"/>
      <c r="P23" s="550"/>
      <c r="Q23" s="550"/>
      <c r="R23" s="550"/>
      <c r="S23" s="550"/>
      <c r="T23" s="550"/>
      <c r="U23" s="550"/>
      <c r="V23" s="550"/>
      <c r="W23" s="550"/>
      <c r="X23" s="550"/>
      <c r="Y23" s="550"/>
      <c r="Z23" s="550"/>
      <c r="AA23" s="550"/>
      <c r="AB23" s="550"/>
      <c r="AC23" s="550"/>
    </row>
    <row r="24" spans="1:29" ht="12.75" customHeight="1">
      <c r="A24" s="1044"/>
      <c r="B24" s="1044"/>
      <c r="C24" s="1044"/>
      <c r="D24" s="1044"/>
      <c r="E24" s="1044"/>
      <c r="F24" s="1044"/>
      <c r="G24" s="1044"/>
      <c r="H24" s="1025"/>
      <c r="I24" s="1025"/>
      <c r="J24" s="1025"/>
      <c r="K24" s="1025"/>
      <c r="L24" s="1025"/>
      <c r="M24" s="1025"/>
      <c r="N24" s="1025"/>
    </row>
    <row r="25" spans="1:29" ht="12.75" customHeight="1">
      <c r="A25" s="1044"/>
      <c r="B25" s="1044"/>
      <c r="C25" s="1044"/>
      <c r="D25" s="1044"/>
      <c r="E25" s="1044"/>
      <c r="F25" s="1044"/>
      <c r="G25" s="1044"/>
      <c r="H25" s="1025"/>
      <c r="I25" s="1025"/>
      <c r="J25" s="1025"/>
      <c r="K25" s="1025"/>
      <c r="L25" s="1025"/>
      <c r="M25" s="1025"/>
      <c r="N25" s="1025"/>
    </row>
    <row r="26" spans="1:29" s="551" customFormat="1" ht="12.75" customHeight="1">
      <c r="A26" s="1044"/>
      <c r="B26" s="1044"/>
      <c r="C26" s="1044"/>
      <c r="D26" s="1044"/>
      <c r="E26" s="1044"/>
      <c r="F26" s="1044"/>
      <c r="G26" s="1044"/>
      <c r="H26" s="1025"/>
      <c r="I26" s="1025"/>
      <c r="J26" s="1025"/>
      <c r="K26" s="1025"/>
      <c r="L26" s="1025"/>
      <c r="M26" s="1025"/>
      <c r="N26" s="1025"/>
      <c r="O26" s="550"/>
      <c r="P26" s="550"/>
      <c r="Q26" s="550"/>
      <c r="R26" s="550"/>
      <c r="S26" s="550"/>
      <c r="T26" s="550"/>
      <c r="U26" s="550"/>
      <c r="V26" s="550"/>
      <c r="W26" s="550"/>
      <c r="X26" s="550"/>
      <c r="Y26" s="550"/>
      <c r="Z26" s="550"/>
      <c r="AA26" s="550"/>
      <c r="AB26" s="550"/>
      <c r="AC26" s="550"/>
    </row>
    <row r="27" spans="1:29" ht="12.75" customHeight="1">
      <c r="A27" s="1044"/>
      <c r="B27" s="1044"/>
      <c r="C27" s="1044"/>
      <c r="D27" s="1044"/>
      <c r="E27" s="1044"/>
      <c r="F27" s="1044"/>
      <c r="G27" s="1044"/>
      <c r="H27" s="1025"/>
      <c r="I27" s="1025"/>
      <c r="J27" s="1025"/>
      <c r="K27" s="1025"/>
      <c r="L27" s="1025"/>
      <c r="M27" s="1025"/>
      <c r="N27" s="1025"/>
    </row>
    <row r="28" spans="1:29" s="551" customFormat="1" ht="12.75" customHeight="1">
      <c r="A28" s="1044"/>
      <c r="B28" s="1044"/>
      <c r="C28" s="1044"/>
      <c r="D28" s="1044"/>
      <c r="E28" s="1044"/>
      <c r="F28" s="1044"/>
      <c r="G28" s="1044"/>
      <c r="H28" s="1025"/>
      <c r="I28" s="1025"/>
      <c r="J28" s="1025"/>
      <c r="K28" s="1025"/>
      <c r="L28" s="1025"/>
      <c r="M28" s="1025"/>
      <c r="N28" s="1025"/>
      <c r="O28" s="550"/>
      <c r="P28" s="550"/>
      <c r="Q28" s="550"/>
      <c r="R28" s="550"/>
      <c r="S28" s="550"/>
      <c r="T28" s="550"/>
      <c r="U28" s="550"/>
      <c r="V28" s="550"/>
      <c r="W28" s="550"/>
      <c r="X28" s="550"/>
      <c r="Y28" s="550"/>
      <c r="Z28" s="550"/>
      <c r="AA28" s="550"/>
      <c r="AB28" s="550"/>
      <c r="AC28" s="550"/>
    </row>
    <row r="29" spans="1:29" ht="11.25" customHeight="1">
      <c r="A29" s="1044"/>
      <c r="B29" s="1044"/>
      <c r="C29" s="1044"/>
      <c r="D29" s="1044"/>
      <c r="E29" s="1044"/>
      <c r="F29" s="1044"/>
      <c r="G29" s="1044"/>
      <c r="H29" s="1025"/>
      <c r="I29" s="1025"/>
      <c r="J29" s="1025"/>
      <c r="K29" s="1025"/>
      <c r="L29" s="1025"/>
      <c r="M29" s="1025"/>
      <c r="N29" s="1025"/>
    </row>
    <row r="30" spans="1:29" s="551" customFormat="1" ht="15.75" customHeight="1">
      <c r="A30" s="1045" t="s">
        <v>465</v>
      </c>
      <c r="B30" s="1045"/>
      <c r="C30" s="1045"/>
      <c r="D30" s="1045"/>
      <c r="E30" s="1045"/>
      <c r="F30" s="1045"/>
      <c r="G30" s="1045"/>
      <c r="H30" s="1045"/>
      <c r="I30" s="1045"/>
      <c r="J30" s="1045"/>
      <c r="K30" s="1045"/>
      <c r="L30" s="1045"/>
      <c r="M30" s="1045"/>
      <c r="N30" s="1045"/>
      <c r="O30" s="550"/>
      <c r="P30" s="550"/>
      <c r="Q30" s="550"/>
      <c r="R30" s="550"/>
      <c r="S30" s="550"/>
      <c r="T30" s="550"/>
      <c r="U30" s="550"/>
      <c r="V30" s="550"/>
      <c r="W30" s="550"/>
      <c r="X30" s="550"/>
      <c r="Y30" s="550"/>
      <c r="Z30" s="550"/>
      <c r="AA30" s="550"/>
      <c r="AB30" s="550"/>
      <c r="AC30" s="550"/>
    </row>
    <row r="31" spans="1:29" s="542" customFormat="1" ht="12.75" customHeight="1">
      <c r="A31" s="1029" t="s">
        <v>466</v>
      </c>
      <c r="B31" s="1029"/>
      <c r="C31" s="1029"/>
      <c r="D31" s="1029" t="s">
        <v>467</v>
      </c>
      <c r="E31" s="1029"/>
      <c r="F31" s="1029"/>
      <c r="G31" s="1029" t="s">
        <v>468</v>
      </c>
      <c r="H31" s="1029"/>
      <c r="I31" s="1029"/>
      <c r="J31" s="1029" t="s">
        <v>447</v>
      </c>
      <c r="K31" s="1029"/>
      <c r="L31" s="1029" t="s">
        <v>469</v>
      </c>
      <c r="M31" s="1029"/>
      <c r="N31" s="1029"/>
      <c r="O31" s="540"/>
      <c r="P31" s="540"/>
      <c r="Q31" s="540"/>
      <c r="R31" s="540"/>
      <c r="S31" s="540"/>
      <c r="T31" s="540"/>
      <c r="U31" s="540"/>
      <c r="V31" s="540"/>
      <c r="W31" s="540"/>
      <c r="X31" s="540"/>
      <c r="Y31" s="540"/>
      <c r="Z31" s="540"/>
      <c r="AA31" s="540"/>
      <c r="AB31" s="540"/>
      <c r="AC31" s="540"/>
    </row>
    <row r="32" spans="1:29" s="551" customFormat="1" ht="12.75" customHeight="1">
      <c r="A32" s="1026"/>
      <c r="B32" s="1026"/>
      <c r="C32" s="1026"/>
      <c r="D32" s="1026"/>
      <c r="E32" s="1026"/>
      <c r="F32" s="1026"/>
      <c r="G32" s="1026"/>
      <c r="H32" s="1026"/>
      <c r="I32" s="1026"/>
      <c r="J32" s="1025"/>
      <c r="K32" s="1025"/>
      <c r="L32" s="1025"/>
      <c r="M32" s="1025"/>
      <c r="N32" s="1025"/>
      <c r="O32" s="550"/>
      <c r="P32" s="550"/>
      <c r="Q32" s="550"/>
      <c r="R32" s="550"/>
      <c r="S32" s="550"/>
      <c r="T32" s="550"/>
      <c r="U32" s="550"/>
      <c r="V32" s="550"/>
      <c r="W32" s="550"/>
      <c r="X32" s="550"/>
      <c r="Y32" s="550"/>
      <c r="Z32" s="550"/>
      <c r="AA32" s="550"/>
      <c r="AB32" s="550"/>
      <c r="AC32" s="550"/>
    </row>
    <row r="33" spans="1:29" s="551" customFormat="1" ht="12.75" customHeight="1">
      <c r="A33" s="1026"/>
      <c r="B33" s="1026"/>
      <c r="C33" s="1026"/>
      <c r="D33" s="1026"/>
      <c r="E33" s="1026"/>
      <c r="F33" s="1026"/>
      <c r="G33" s="1026"/>
      <c r="H33" s="1026"/>
      <c r="I33" s="1026"/>
      <c r="J33" s="1025"/>
      <c r="K33" s="1025"/>
      <c r="L33" s="1025"/>
      <c r="M33" s="1025"/>
      <c r="N33" s="1025"/>
      <c r="O33" s="550"/>
      <c r="P33" s="550"/>
      <c r="Q33" s="550"/>
      <c r="R33" s="550"/>
      <c r="S33" s="550"/>
      <c r="T33" s="550"/>
      <c r="U33" s="550"/>
      <c r="V33" s="550"/>
      <c r="W33" s="550"/>
      <c r="X33" s="550"/>
      <c r="Y33" s="550"/>
      <c r="Z33" s="550"/>
      <c r="AA33" s="550"/>
      <c r="AB33" s="550"/>
      <c r="AC33" s="550"/>
    </row>
    <row r="34" spans="1:29" s="551" customFormat="1" ht="12.75" customHeight="1">
      <c r="A34" s="1026"/>
      <c r="B34" s="1026"/>
      <c r="C34" s="1026"/>
      <c r="D34" s="1026"/>
      <c r="E34" s="1026"/>
      <c r="F34" s="1026"/>
      <c r="G34" s="1026"/>
      <c r="H34" s="1026"/>
      <c r="I34" s="1026"/>
      <c r="J34" s="1025"/>
      <c r="K34" s="1025"/>
      <c r="L34" s="1025"/>
      <c r="M34" s="1025"/>
      <c r="N34" s="1025"/>
      <c r="O34" s="550"/>
      <c r="P34" s="550"/>
      <c r="Q34" s="550"/>
      <c r="R34" s="550"/>
      <c r="S34" s="550"/>
      <c r="T34" s="550"/>
      <c r="U34" s="550"/>
      <c r="V34" s="550"/>
      <c r="W34" s="550"/>
      <c r="X34" s="550"/>
      <c r="Y34" s="550"/>
      <c r="Z34" s="550"/>
      <c r="AA34" s="550"/>
      <c r="AB34" s="550"/>
      <c r="AC34" s="550"/>
    </row>
    <row r="35" spans="1:29" s="551" customFormat="1" ht="12.75" customHeight="1">
      <c r="A35" s="1025"/>
      <c r="B35" s="1025"/>
      <c r="C35" s="1025"/>
      <c r="D35" s="1025"/>
      <c r="E35" s="1025"/>
      <c r="F35" s="1025"/>
      <c r="G35" s="1025"/>
      <c r="H35" s="1025"/>
      <c r="I35" s="1025"/>
      <c r="J35" s="1025"/>
      <c r="K35" s="1025"/>
      <c r="L35" s="1025"/>
      <c r="M35" s="1025"/>
      <c r="N35" s="1025"/>
      <c r="O35" s="550"/>
      <c r="P35" s="550"/>
      <c r="Q35" s="550"/>
      <c r="R35" s="550"/>
      <c r="S35" s="550"/>
      <c r="T35" s="550"/>
      <c r="U35" s="550"/>
      <c r="V35" s="550"/>
      <c r="W35" s="550"/>
      <c r="X35" s="550"/>
      <c r="Y35" s="550"/>
      <c r="Z35" s="550"/>
      <c r="AA35" s="550"/>
      <c r="AB35" s="550"/>
      <c r="AC35" s="550"/>
    </row>
    <row r="36" spans="1:29" s="551" customFormat="1" ht="15.75" customHeight="1">
      <c r="A36" s="1021" t="s">
        <v>470</v>
      </c>
      <c r="B36" s="1021"/>
      <c r="C36" s="1021"/>
      <c r="D36" s="1021"/>
      <c r="E36" s="1021"/>
      <c r="F36" s="1021"/>
      <c r="G36" s="1021"/>
      <c r="H36" s="1021"/>
      <c r="I36" s="1021"/>
      <c r="J36" s="1021"/>
      <c r="K36" s="1021"/>
      <c r="L36" s="1021"/>
      <c r="M36" s="1021"/>
      <c r="N36" s="1021"/>
      <c r="O36" s="550"/>
      <c r="P36" s="550"/>
      <c r="Q36" s="550"/>
      <c r="R36" s="550"/>
      <c r="S36" s="550"/>
      <c r="T36" s="550"/>
      <c r="U36" s="550"/>
      <c r="V36" s="550"/>
      <c r="W36" s="550"/>
      <c r="X36" s="550"/>
      <c r="Y36" s="550"/>
      <c r="Z36" s="550"/>
      <c r="AA36" s="550"/>
      <c r="AB36" s="550"/>
      <c r="AC36" s="550"/>
    </row>
    <row r="37" spans="1:29" s="542" customFormat="1" ht="12.75" customHeight="1">
      <c r="A37" s="555" t="s">
        <v>471</v>
      </c>
      <c r="B37" s="1029" t="s">
        <v>472</v>
      </c>
      <c r="C37" s="1029"/>
      <c r="D37" s="1029"/>
      <c r="E37" s="1029"/>
      <c r="F37" s="1029"/>
      <c r="G37" s="1029" t="s">
        <v>473</v>
      </c>
      <c r="H37" s="1029"/>
      <c r="I37" s="1029" t="s">
        <v>474</v>
      </c>
      <c r="J37" s="1029"/>
      <c r="K37" s="1029" t="s">
        <v>475</v>
      </c>
      <c r="L37" s="1029"/>
      <c r="M37" s="1029" t="s">
        <v>476</v>
      </c>
      <c r="N37" s="1029"/>
      <c r="O37" s="540"/>
      <c r="P37" s="540"/>
      <c r="Q37" s="540"/>
      <c r="R37" s="540"/>
      <c r="S37" s="540"/>
      <c r="T37" s="540"/>
      <c r="U37" s="540"/>
      <c r="V37" s="540"/>
      <c r="W37" s="540"/>
      <c r="X37" s="540"/>
      <c r="Y37" s="540"/>
      <c r="Z37" s="540"/>
      <c r="AA37" s="540"/>
      <c r="AB37" s="540"/>
      <c r="AC37" s="540"/>
    </row>
    <row r="38" spans="1:29" ht="12.75" customHeight="1">
      <c r="A38" s="556" t="s">
        <v>477</v>
      </c>
      <c r="B38" s="1042" t="s">
        <v>478</v>
      </c>
      <c r="C38" s="1042"/>
      <c r="D38" s="1042"/>
      <c r="E38" s="1042"/>
      <c r="F38" s="1042"/>
      <c r="G38" s="1025"/>
      <c r="H38" s="1025"/>
      <c r="I38" s="1025"/>
      <c r="J38" s="1025"/>
      <c r="K38" s="1025"/>
      <c r="L38" s="1025"/>
      <c r="M38" s="1025"/>
      <c r="N38" s="1025"/>
    </row>
    <row r="39" spans="1:29" ht="12.75" customHeight="1">
      <c r="A39" s="556" t="s">
        <v>479</v>
      </c>
      <c r="B39" s="1042" t="s">
        <v>480</v>
      </c>
      <c r="C39" s="1042"/>
      <c r="D39" s="1042"/>
      <c r="E39" s="1042"/>
      <c r="F39" s="1042"/>
      <c r="G39" s="1025"/>
      <c r="H39" s="1025"/>
      <c r="I39" s="1025"/>
      <c r="J39" s="1025"/>
      <c r="K39" s="1025"/>
      <c r="L39" s="1025"/>
      <c r="M39" s="1025"/>
      <c r="N39" s="1025"/>
    </row>
    <row r="40" spans="1:29" s="551" customFormat="1" ht="29.25" customHeight="1">
      <c r="A40" s="1037" t="s">
        <v>481</v>
      </c>
      <c r="B40" s="1037"/>
      <c r="C40" s="1037"/>
      <c r="D40" s="1037"/>
      <c r="E40" s="1037"/>
      <c r="F40" s="1037"/>
      <c r="G40" s="1037"/>
      <c r="H40" s="1037"/>
      <c r="I40" s="1037"/>
      <c r="J40" s="1037"/>
      <c r="K40" s="1037"/>
      <c r="L40" s="1037"/>
      <c r="M40" s="1037"/>
      <c r="N40" s="1037"/>
      <c r="O40" s="550"/>
      <c r="P40" s="550"/>
      <c r="Q40" s="550"/>
      <c r="R40" s="550"/>
      <c r="S40" s="550"/>
      <c r="T40" s="550"/>
      <c r="U40" s="550"/>
      <c r="V40" s="550"/>
      <c r="W40" s="550"/>
      <c r="X40" s="550"/>
      <c r="Y40" s="550"/>
      <c r="Z40" s="550"/>
      <c r="AA40" s="550"/>
      <c r="AB40" s="550"/>
      <c r="AC40" s="550"/>
    </row>
    <row r="41" spans="1:29" ht="13.5" customHeight="1">
      <c r="A41" s="1038" t="s">
        <v>482</v>
      </c>
      <c r="B41" s="1038"/>
      <c r="C41" s="1038"/>
      <c r="D41" s="1038"/>
      <c r="E41" s="1038"/>
      <c r="F41" s="1038"/>
      <c r="G41" s="1038"/>
      <c r="H41" s="1039" t="s">
        <v>483</v>
      </c>
      <c r="I41" s="1039"/>
      <c r="J41" s="1039"/>
      <c r="K41" s="1039"/>
      <c r="L41" s="1039"/>
      <c r="M41" s="1039"/>
      <c r="N41" s="1040" t="s">
        <v>484</v>
      </c>
    </row>
    <row r="42" spans="1:29" ht="12.75" customHeight="1">
      <c r="A42" s="1034" t="s">
        <v>485</v>
      </c>
      <c r="B42" s="1034"/>
      <c r="C42" s="1041" t="s">
        <v>486</v>
      </c>
      <c r="D42" s="1041"/>
      <c r="E42" s="1041"/>
      <c r="F42" s="1041"/>
      <c r="G42" s="1041"/>
      <c r="H42" s="1041"/>
      <c r="I42" s="1041"/>
      <c r="J42" s="1041"/>
      <c r="K42" s="1041"/>
      <c r="L42" s="1041"/>
      <c r="M42" s="1041"/>
      <c r="N42" s="1040"/>
    </row>
    <row r="43" spans="1:29" ht="12" customHeight="1">
      <c r="A43" s="1036" t="s">
        <v>487</v>
      </c>
      <c r="B43" s="1036"/>
      <c r="C43" s="1026"/>
      <c r="D43" s="1026"/>
      <c r="E43" s="1026"/>
      <c r="F43" s="1026"/>
      <c r="G43" s="1026"/>
      <c r="H43" s="1026"/>
      <c r="I43" s="1026"/>
      <c r="J43" s="1026"/>
      <c r="K43" s="1026"/>
      <c r="L43" s="1026"/>
      <c r="M43" s="1026"/>
      <c r="N43" s="557">
        <v>2</v>
      </c>
    </row>
    <row r="44" spans="1:29" ht="12" customHeight="1">
      <c r="A44" s="1025"/>
      <c r="B44" s="1025"/>
      <c r="C44" s="1026"/>
      <c r="D44" s="1026"/>
      <c r="E44" s="1026"/>
      <c r="F44" s="1026"/>
      <c r="G44" s="1026"/>
      <c r="H44" s="1026"/>
      <c r="I44" s="1026"/>
      <c r="J44" s="1026"/>
      <c r="K44" s="1026"/>
      <c r="L44" s="1026"/>
      <c r="M44" s="1026"/>
      <c r="N44" s="557">
        <v>2</v>
      </c>
    </row>
    <row r="45" spans="1:29" ht="12" customHeight="1">
      <c r="A45" s="1025"/>
      <c r="B45" s="1025"/>
      <c r="C45" s="1026"/>
      <c r="D45" s="1026"/>
      <c r="E45" s="1026"/>
      <c r="F45" s="1026"/>
      <c r="G45" s="1026"/>
      <c r="H45" s="1026"/>
      <c r="I45" s="1026"/>
      <c r="J45" s="1026"/>
      <c r="K45" s="1026"/>
      <c r="L45" s="1026"/>
      <c r="M45" s="1026"/>
      <c r="N45" s="557">
        <v>2</v>
      </c>
    </row>
    <row r="46" spans="1:29" ht="12" customHeight="1">
      <c r="A46" s="558"/>
      <c r="B46" s="559"/>
      <c r="C46" s="1026"/>
      <c r="D46" s="1026"/>
      <c r="E46" s="1026"/>
      <c r="F46" s="1026"/>
      <c r="G46" s="1026"/>
      <c r="H46" s="1026"/>
      <c r="I46" s="1026"/>
      <c r="J46" s="1026"/>
      <c r="K46" s="1026"/>
      <c r="L46" s="1026"/>
      <c r="M46" s="1026"/>
      <c r="N46" s="557">
        <v>3</v>
      </c>
    </row>
    <row r="47" spans="1:29" ht="12" customHeight="1">
      <c r="A47" s="1025"/>
      <c r="B47" s="1025"/>
      <c r="C47" s="1026"/>
      <c r="D47" s="1026"/>
      <c r="E47" s="1026"/>
      <c r="F47" s="1026"/>
      <c r="G47" s="1026"/>
      <c r="H47" s="1026"/>
      <c r="I47" s="1026"/>
      <c r="J47" s="1026"/>
      <c r="K47" s="1026"/>
      <c r="L47" s="1026"/>
      <c r="M47" s="1026"/>
      <c r="N47" s="557">
        <v>2</v>
      </c>
    </row>
    <row r="48" spans="1:29" ht="12" customHeight="1">
      <c r="A48" s="1036" t="s">
        <v>488</v>
      </c>
      <c r="B48" s="1036"/>
      <c r="C48" s="1026"/>
      <c r="D48" s="1026"/>
      <c r="E48" s="1026"/>
      <c r="F48" s="1026"/>
      <c r="G48" s="1026"/>
      <c r="H48" s="1026"/>
      <c r="I48" s="1026"/>
      <c r="J48" s="1026"/>
      <c r="K48" s="1026"/>
      <c r="L48" s="1026"/>
      <c r="M48" s="1026"/>
      <c r="N48" s="557">
        <v>3</v>
      </c>
    </row>
    <row r="49" spans="1:29" ht="12" customHeight="1">
      <c r="A49" s="1025"/>
      <c r="B49" s="1025"/>
      <c r="C49" s="1026"/>
      <c r="D49" s="1026"/>
      <c r="E49" s="1026"/>
      <c r="F49" s="1026"/>
      <c r="G49" s="1026"/>
      <c r="H49" s="1026"/>
      <c r="I49" s="1026"/>
      <c r="J49" s="1026"/>
      <c r="K49" s="1026"/>
      <c r="L49" s="1026"/>
      <c r="M49" s="1026"/>
      <c r="N49" s="557">
        <v>3</v>
      </c>
    </row>
    <row r="50" spans="1:29" ht="12" customHeight="1">
      <c r="A50" s="560" t="s">
        <v>489</v>
      </c>
      <c r="B50" s="559"/>
      <c r="C50" s="1026"/>
      <c r="D50" s="1026"/>
      <c r="E50" s="1026"/>
      <c r="F50" s="1026"/>
      <c r="G50" s="1026"/>
      <c r="H50" s="1026"/>
      <c r="I50" s="1026"/>
      <c r="J50" s="1026"/>
      <c r="K50" s="1026"/>
      <c r="L50" s="1026"/>
      <c r="M50" s="1026"/>
      <c r="N50" s="557">
        <v>3</v>
      </c>
    </row>
    <row r="51" spans="1:29" ht="12" customHeight="1">
      <c r="A51" s="1025"/>
      <c r="B51" s="1025"/>
      <c r="C51" s="1025"/>
      <c r="D51" s="1025"/>
      <c r="E51" s="1025"/>
      <c r="F51" s="1025"/>
      <c r="G51" s="1025"/>
      <c r="H51" s="1025"/>
      <c r="I51" s="1025"/>
      <c r="J51" s="1025"/>
      <c r="K51" s="1025"/>
      <c r="L51" s="1025"/>
      <c r="M51" s="1025"/>
      <c r="N51" s="557"/>
    </row>
    <row r="52" spans="1:29" ht="12" customHeight="1">
      <c r="A52" s="560" t="s">
        <v>490</v>
      </c>
      <c r="B52" s="559"/>
      <c r="C52" s="1026"/>
      <c r="D52" s="1026"/>
      <c r="E52" s="1026"/>
      <c r="F52" s="1026"/>
      <c r="G52" s="1026"/>
      <c r="H52" s="1026"/>
      <c r="I52" s="1026"/>
      <c r="J52" s="1026"/>
      <c r="K52" s="1026"/>
      <c r="L52" s="1026"/>
      <c r="M52" s="1026"/>
      <c r="N52" s="557">
        <v>0</v>
      </c>
    </row>
    <row r="53" spans="1:29" ht="12" customHeight="1">
      <c r="A53" s="1025"/>
      <c r="B53" s="1025"/>
      <c r="C53" s="1025"/>
      <c r="D53" s="1025"/>
      <c r="E53" s="1025"/>
      <c r="F53" s="1025"/>
      <c r="G53" s="1025"/>
      <c r="H53" s="1025"/>
      <c r="I53" s="1025"/>
      <c r="J53" s="1025"/>
      <c r="K53" s="1025"/>
      <c r="L53" s="1025"/>
      <c r="M53" s="1025"/>
      <c r="N53" s="557"/>
    </row>
    <row r="54" spans="1:29" ht="12" customHeight="1">
      <c r="A54" s="1036" t="s">
        <v>491</v>
      </c>
      <c r="B54" s="1036"/>
      <c r="C54" s="1026"/>
      <c r="D54" s="1026"/>
      <c r="E54" s="1026"/>
      <c r="F54" s="1026"/>
      <c r="G54" s="1026"/>
      <c r="H54" s="1026"/>
      <c r="I54" s="1026"/>
      <c r="J54" s="1026"/>
      <c r="K54" s="1026"/>
      <c r="L54" s="1026"/>
      <c r="M54" s="1026"/>
      <c r="N54" s="557">
        <v>0</v>
      </c>
    </row>
    <row r="55" spans="1:29" ht="12" customHeight="1">
      <c r="A55" s="1025"/>
      <c r="B55" s="1025"/>
      <c r="C55" s="1025"/>
      <c r="D55" s="1025"/>
      <c r="E55" s="1025"/>
      <c r="F55" s="1025"/>
      <c r="G55" s="1025"/>
      <c r="H55" s="1025"/>
      <c r="I55" s="1025"/>
      <c r="J55" s="1025"/>
      <c r="K55" s="1025"/>
      <c r="L55" s="1025"/>
      <c r="M55" s="1025"/>
      <c r="N55" s="557"/>
    </row>
    <row r="56" spans="1:29" ht="12" customHeight="1">
      <c r="A56" s="1036" t="s">
        <v>492</v>
      </c>
      <c r="B56" s="1036"/>
      <c r="C56" s="1026"/>
      <c r="D56" s="1026"/>
      <c r="E56" s="1026"/>
      <c r="F56" s="1026"/>
      <c r="G56" s="1026"/>
      <c r="H56" s="1026"/>
      <c r="I56" s="1026"/>
      <c r="J56" s="1026"/>
      <c r="K56" s="1026"/>
      <c r="L56" s="1026"/>
      <c r="M56" s="1026"/>
      <c r="N56" s="557">
        <v>0</v>
      </c>
    </row>
    <row r="57" spans="1:29" ht="12" customHeight="1">
      <c r="A57" s="1025"/>
      <c r="B57" s="1025"/>
      <c r="C57" s="1025"/>
      <c r="D57" s="1025"/>
      <c r="E57" s="1025"/>
      <c r="F57" s="1025"/>
      <c r="G57" s="1025"/>
      <c r="H57" s="1025"/>
      <c r="I57" s="1025"/>
      <c r="J57" s="1025"/>
      <c r="K57" s="1025"/>
      <c r="L57" s="1025"/>
      <c r="M57" s="1025"/>
      <c r="N57" s="557"/>
    </row>
    <row r="58" spans="1:29" ht="13.5" customHeight="1">
      <c r="A58" s="1034" t="s">
        <v>493</v>
      </c>
      <c r="B58" s="1034"/>
      <c r="C58" s="1034"/>
      <c r="D58" s="1034"/>
      <c r="E58" s="1034"/>
      <c r="F58" s="1034"/>
      <c r="G58" s="1034"/>
      <c r="H58" s="1034"/>
      <c r="I58" s="1034"/>
      <c r="J58" s="1034"/>
      <c r="K58" s="1034"/>
      <c r="L58" s="1034"/>
      <c r="M58" s="1034"/>
      <c r="N58" s="1034"/>
    </row>
    <row r="59" spans="1:29" ht="13.5" customHeight="1">
      <c r="A59" s="1035" t="s">
        <v>494</v>
      </c>
      <c r="B59" s="1035"/>
      <c r="C59" s="1035"/>
      <c r="D59" s="1035"/>
      <c r="E59" s="1035" t="s">
        <v>495</v>
      </c>
      <c r="F59" s="1035"/>
      <c r="G59" s="1035" t="s">
        <v>495</v>
      </c>
      <c r="H59" s="1035"/>
      <c r="I59" s="1035" t="s">
        <v>495</v>
      </c>
      <c r="J59" s="1035"/>
      <c r="K59" s="1035" t="s">
        <v>495</v>
      </c>
      <c r="L59" s="1035"/>
      <c r="M59" s="1035" t="s">
        <v>495</v>
      </c>
      <c r="N59" s="1035"/>
    </row>
    <row r="60" spans="1:29" ht="24" customHeight="1">
      <c r="A60" s="1026"/>
      <c r="B60" s="1026"/>
      <c r="C60" s="1026"/>
      <c r="D60" s="1026"/>
      <c r="E60" s="1026"/>
      <c r="F60" s="1026"/>
      <c r="G60" s="1026"/>
      <c r="H60" s="1026"/>
      <c r="I60" s="1026"/>
      <c r="J60" s="1026"/>
      <c r="K60" s="1026"/>
      <c r="L60" s="1026"/>
      <c r="M60" s="1026"/>
      <c r="N60" s="1026"/>
    </row>
    <row r="61" spans="1:29" ht="24" customHeight="1">
      <c r="A61" s="1026"/>
      <c r="B61" s="1026"/>
      <c r="C61" s="1026"/>
      <c r="D61" s="1026"/>
      <c r="E61" s="1026"/>
      <c r="F61" s="1026"/>
      <c r="G61" s="1026"/>
      <c r="H61" s="1026"/>
      <c r="I61" s="1026"/>
      <c r="J61" s="1026"/>
      <c r="K61" s="1026"/>
      <c r="L61" s="1026"/>
      <c r="M61" s="1026"/>
      <c r="N61" s="1026"/>
    </row>
    <row r="62" spans="1:29" s="551" customFormat="1" ht="15.75" customHeight="1">
      <c r="A62" s="1021" t="s">
        <v>496</v>
      </c>
      <c r="B62" s="1021"/>
      <c r="C62" s="1021"/>
      <c r="D62" s="1021"/>
      <c r="E62" s="1021"/>
      <c r="F62" s="1021"/>
      <c r="G62" s="1021"/>
      <c r="H62" s="1021"/>
      <c r="I62" s="1021"/>
      <c r="J62" s="1021"/>
      <c r="K62" s="1021"/>
      <c r="L62" s="1021"/>
      <c r="M62" s="1021"/>
      <c r="N62" s="1021"/>
      <c r="O62" s="550"/>
      <c r="P62" s="550"/>
      <c r="Q62" s="550"/>
      <c r="R62" s="550"/>
      <c r="S62" s="550"/>
      <c r="T62" s="550"/>
      <c r="U62" s="550"/>
      <c r="V62" s="550"/>
      <c r="W62" s="550"/>
      <c r="X62" s="550"/>
      <c r="Y62" s="550"/>
      <c r="Z62" s="550"/>
      <c r="AA62" s="550"/>
      <c r="AB62" s="550"/>
      <c r="AC62" s="550"/>
    </row>
    <row r="63" spans="1:29" s="551" customFormat="1" ht="14.25" customHeight="1">
      <c r="A63" s="561" t="s">
        <v>497</v>
      </c>
      <c r="B63" s="562"/>
      <c r="C63" s="562"/>
      <c r="D63" s="562"/>
      <c r="E63" s="562"/>
      <c r="F63" s="562"/>
      <c r="G63" s="562"/>
      <c r="H63" s="562"/>
      <c r="I63" s="563"/>
      <c r="J63" s="563"/>
      <c r="K63" s="562"/>
      <c r="L63" s="562"/>
      <c r="M63" s="562"/>
      <c r="N63" s="564"/>
      <c r="O63" s="550"/>
      <c r="P63" s="550"/>
      <c r="Q63" s="550"/>
      <c r="R63" s="550"/>
      <c r="S63" s="550"/>
      <c r="T63" s="550"/>
      <c r="U63" s="550"/>
      <c r="V63" s="550"/>
      <c r="W63" s="550"/>
      <c r="X63" s="550"/>
      <c r="Y63" s="550"/>
      <c r="Z63" s="550"/>
      <c r="AA63" s="550"/>
      <c r="AB63" s="550"/>
      <c r="AC63" s="550"/>
    </row>
    <row r="64" spans="1:29" s="542" customFormat="1" ht="12.75" customHeight="1">
      <c r="A64" s="565" t="s">
        <v>471</v>
      </c>
      <c r="B64" s="1033" t="s">
        <v>472</v>
      </c>
      <c r="C64" s="1033"/>
      <c r="D64" s="1033"/>
      <c r="E64" s="1033"/>
      <c r="F64" s="1033"/>
      <c r="G64" s="1033" t="s">
        <v>473</v>
      </c>
      <c r="H64" s="1033"/>
      <c r="I64" s="1033" t="s">
        <v>474</v>
      </c>
      <c r="J64" s="1033"/>
      <c r="K64" s="1033" t="s">
        <v>475</v>
      </c>
      <c r="L64" s="1033"/>
      <c r="M64" s="1033" t="s">
        <v>476</v>
      </c>
      <c r="N64" s="1033"/>
      <c r="O64" s="540"/>
      <c r="P64" s="540"/>
      <c r="Q64" s="540"/>
      <c r="R64" s="540"/>
      <c r="S64" s="540"/>
      <c r="T64" s="540"/>
      <c r="U64" s="540"/>
      <c r="V64" s="540"/>
      <c r="W64" s="540"/>
      <c r="X64" s="540"/>
      <c r="Y64" s="540"/>
      <c r="Z64" s="540"/>
      <c r="AA64" s="540"/>
      <c r="AB64" s="540"/>
      <c r="AC64" s="540"/>
    </row>
    <row r="65" spans="1:29" ht="12.75" customHeight="1">
      <c r="A65" s="566"/>
      <c r="B65" s="1026"/>
      <c r="C65" s="1026"/>
      <c r="D65" s="1026"/>
      <c r="E65" s="1026"/>
      <c r="F65" s="1026"/>
      <c r="G65" s="1026"/>
      <c r="H65" s="1026"/>
      <c r="I65" s="1032"/>
      <c r="J65" s="1032"/>
      <c r="K65" s="1032"/>
      <c r="L65" s="1032"/>
      <c r="M65" s="1025"/>
      <c r="N65" s="1025"/>
    </row>
    <row r="66" spans="1:29" ht="12.75" customHeight="1">
      <c r="A66" s="566"/>
      <c r="B66" s="1026"/>
      <c r="C66" s="1026"/>
      <c r="D66" s="1026"/>
      <c r="E66" s="1026"/>
      <c r="F66" s="1026"/>
      <c r="G66" s="1026"/>
      <c r="H66" s="1026"/>
      <c r="I66" s="1032"/>
      <c r="J66" s="1032"/>
      <c r="K66" s="1032"/>
      <c r="L66" s="1032"/>
      <c r="M66" s="1025"/>
      <c r="N66" s="1025"/>
    </row>
    <row r="67" spans="1:29" ht="12.75" customHeight="1">
      <c r="A67" s="566"/>
      <c r="B67" s="1026"/>
      <c r="C67" s="1026"/>
      <c r="D67" s="1026"/>
      <c r="E67" s="1026"/>
      <c r="F67" s="1026"/>
      <c r="G67" s="1026"/>
      <c r="H67" s="1026"/>
      <c r="I67" s="1032"/>
      <c r="J67" s="1032"/>
      <c r="K67" s="1032"/>
      <c r="L67" s="1032"/>
      <c r="M67" s="1025"/>
      <c r="N67" s="1025"/>
    </row>
    <row r="68" spans="1:29" ht="12.75" customHeight="1">
      <c r="A68" s="566"/>
      <c r="B68" s="1026"/>
      <c r="C68" s="1026"/>
      <c r="D68" s="1026"/>
      <c r="E68" s="1026"/>
      <c r="F68" s="1026"/>
      <c r="G68" s="1026"/>
      <c r="H68" s="1026"/>
      <c r="I68" s="1032"/>
      <c r="J68" s="1032"/>
      <c r="K68" s="1032"/>
      <c r="L68" s="1032"/>
      <c r="M68" s="1025"/>
      <c r="N68" s="1025"/>
    </row>
    <row r="69" spans="1:29" s="551" customFormat="1" ht="15.75" customHeight="1">
      <c r="A69" s="1021" t="s">
        <v>498</v>
      </c>
      <c r="B69" s="1021"/>
      <c r="C69" s="1021"/>
      <c r="D69" s="1021"/>
      <c r="E69" s="1021"/>
      <c r="F69" s="1021"/>
      <c r="G69" s="1021"/>
      <c r="H69" s="1021"/>
      <c r="I69" s="1021"/>
      <c r="J69" s="1021"/>
      <c r="K69" s="1021"/>
      <c r="L69" s="1021"/>
      <c r="M69" s="1021"/>
      <c r="N69" s="1021"/>
      <c r="O69" s="550"/>
      <c r="P69" s="550"/>
      <c r="Q69" s="550"/>
      <c r="R69" s="550"/>
      <c r="S69" s="550"/>
      <c r="T69" s="550"/>
      <c r="U69" s="550"/>
      <c r="V69" s="550"/>
      <c r="W69" s="550"/>
      <c r="X69" s="550"/>
      <c r="Y69" s="550"/>
      <c r="Z69" s="550"/>
      <c r="AA69" s="550"/>
      <c r="AB69" s="550"/>
      <c r="AC69" s="550"/>
    </row>
    <row r="70" spans="1:29" s="542" customFormat="1" ht="12.75" customHeight="1">
      <c r="A70" s="555" t="s">
        <v>471</v>
      </c>
      <c r="B70" s="1029" t="s">
        <v>472</v>
      </c>
      <c r="C70" s="1029"/>
      <c r="D70" s="1029"/>
      <c r="E70" s="1029"/>
      <c r="F70" s="1029"/>
      <c r="G70" s="1029" t="s">
        <v>473</v>
      </c>
      <c r="H70" s="1029"/>
      <c r="I70" s="1029" t="s">
        <v>474</v>
      </c>
      <c r="J70" s="1029"/>
      <c r="K70" s="1029" t="s">
        <v>476</v>
      </c>
      <c r="L70" s="1029"/>
      <c r="M70" s="1029"/>
      <c r="N70" s="1029"/>
      <c r="O70" s="540"/>
      <c r="P70" s="540"/>
      <c r="Q70" s="540"/>
      <c r="R70" s="540"/>
      <c r="S70" s="540"/>
      <c r="T70" s="540"/>
      <c r="U70" s="540"/>
      <c r="V70" s="540"/>
      <c r="W70" s="540"/>
      <c r="X70" s="540"/>
      <c r="Y70" s="540"/>
      <c r="Z70" s="540"/>
      <c r="AA70" s="540"/>
      <c r="AB70" s="540"/>
      <c r="AC70" s="540"/>
    </row>
    <row r="71" spans="1:29" ht="12.75" customHeight="1">
      <c r="A71" s="566"/>
      <c r="B71" s="1026"/>
      <c r="C71" s="1026"/>
      <c r="D71" s="1026"/>
      <c r="E71" s="1026"/>
      <c r="F71" s="1026"/>
      <c r="G71" s="1026"/>
      <c r="H71" s="1026"/>
      <c r="I71" s="1027"/>
      <c r="J71" s="1027"/>
      <c r="K71" s="1027"/>
      <c r="L71" s="1027"/>
      <c r="M71" s="567"/>
      <c r="N71" s="568"/>
    </row>
    <row r="72" spans="1:29" ht="12.75" customHeight="1">
      <c r="A72" s="566"/>
      <c r="B72" s="1026"/>
      <c r="C72" s="1026"/>
      <c r="D72" s="1026"/>
      <c r="E72" s="1026"/>
      <c r="F72" s="1026"/>
      <c r="G72" s="1026"/>
      <c r="H72" s="1026"/>
      <c r="I72" s="1027"/>
      <c r="J72" s="1027"/>
      <c r="K72" s="1027"/>
      <c r="L72" s="1027"/>
      <c r="M72" s="567"/>
      <c r="N72" s="568"/>
    </row>
    <row r="73" spans="1:29" ht="12.75" customHeight="1">
      <c r="A73" s="566"/>
      <c r="B73" s="1026"/>
      <c r="C73" s="1026"/>
      <c r="D73" s="1026"/>
      <c r="E73" s="1026"/>
      <c r="F73" s="1026"/>
      <c r="G73" s="1026"/>
      <c r="H73" s="1026"/>
      <c r="I73" s="1027"/>
      <c r="J73" s="1027"/>
      <c r="K73" s="1027"/>
      <c r="L73" s="1027"/>
      <c r="M73" s="567"/>
      <c r="N73" s="568"/>
    </row>
    <row r="74" spans="1:29" ht="12.75" customHeight="1">
      <c r="A74" s="569"/>
      <c r="B74" s="1030"/>
      <c r="C74" s="1030"/>
      <c r="D74" s="1030"/>
      <c r="E74" s="1030"/>
      <c r="F74" s="1030"/>
      <c r="G74" s="1030"/>
      <c r="H74" s="1030"/>
      <c r="I74" s="1027"/>
      <c r="J74" s="1027"/>
      <c r="K74" s="1027"/>
      <c r="L74" s="1027"/>
      <c r="M74" s="570"/>
      <c r="N74" s="571"/>
    </row>
    <row r="75" spans="1:29" s="551" customFormat="1" ht="13.5" customHeight="1">
      <c r="A75" s="1031" t="s">
        <v>499</v>
      </c>
      <c r="B75" s="1031"/>
      <c r="C75" s="1031"/>
      <c r="D75" s="1031"/>
      <c r="E75" s="1031"/>
      <c r="F75" s="1031"/>
      <c r="G75" s="1031"/>
      <c r="H75" s="1031"/>
      <c r="I75" s="1031"/>
      <c r="J75" s="1031"/>
      <c r="K75" s="1031"/>
      <c r="L75" s="1031"/>
      <c r="M75" s="1031"/>
      <c r="N75" s="1031"/>
      <c r="O75" s="550"/>
      <c r="P75" s="550"/>
      <c r="Q75" s="550"/>
      <c r="R75" s="550"/>
      <c r="S75" s="550"/>
      <c r="T75" s="550"/>
      <c r="U75" s="550"/>
      <c r="V75" s="550"/>
      <c r="W75" s="550"/>
      <c r="X75" s="550"/>
      <c r="Y75" s="550"/>
      <c r="Z75" s="550"/>
      <c r="AA75" s="550"/>
      <c r="AB75" s="550"/>
      <c r="AC75" s="550"/>
    </row>
    <row r="76" spans="1:29" s="542" customFormat="1" ht="12.75" customHeight="1">
      <c r="A76" s="555" t="s">
        <v>471</v>
      </c>
      <c r="B76" s="1029" t="s">
        <v>472</v>
      </c>
      <c r="C76" s="1029"/>
      <c r="D76" s="1029"/>
      <c r="E76" s="1029"/>
      <c r="F76" s="1029"/>
      <c r="G76" s="1029" t="s">
        <v>473</v>
      </c>
      <c r="H76" s="1029"/>
      <c r="I76" s="1029" t="s">
        <v>474</v>
      </c>
      <c r="J76" s="1029"/>
      <c r="K76" s="1029" t="s">
        <v>476</v>
      </c>
      <c r="L76" s="1029"/>
      <c r="M76" s="1029"/>
      <c r="N76" s="1029"/>
      <c r="O76" s="540"/>
      <c r="P76" s="540"/>
      <c r="Q76" s="540"/>
      <c r="R76" s="540"/>
      <c r="S76" s="540"/>
      <c r="T76" s="540"/>
      <c r="U76" s="540"/>
      <c r="V76" s="540"/>
      <c r="W76" s="540"/>
      <c r="X76" s="540"/>
      <c r="Y76" s="540"/>
      <c r="Z76" s="540"/>
      <c r="AA76" s="540"/>
      <c r="AB76" s="540"/>
      <c r="AC76" s="540"/>
    </row>
    <row r="77" spans="1:29" ht="12.75" customHeight="1">
      <c r="A77" s="566"/>
      <c r="B77" s="1026"/>
      <c r="C77" s="1026"/>
      <c r="D77" s="1026"/>
      <c r="E77" s="1026"/>
      <c r="F77" s="1026"/>
      <c r="G77" s="1026"/>
      <c r="H77" s="1026"/>
      <c r="I77" s="1027"/>
      <c r="J77" s="1027"/>
      <c r="K77" s="1027"/>
      <c r="L77" s="1027"/>
      <c r="M77" s="567"/>
      <c r="N77" s="568"/>
    </row>
    <row r="78" spans="1:29" s="551" customFormat="1" ht="15.75" customHeight="1">
      <c r="A78" s="1021" t="s">
        <v>500</v>
      </c>
      <c r="B78" s="1021"/>
      <c r="C78" s="1021"/>
      <c r="D78" s="1021"/>
      <c r="E78" s="1021"/>
      <c r="F78" s="1021"/>
      <c r="G78" s="1021"/>
      <c r="H78" s="1021"/>
      <c r="I78" s="1021"/>
      <c r="J78" s="1021"/>
      <c r="K78" s="1021"/>
      <c r="L78" s="1021"/>
      <c r="M78" s="1021"/>
      <c r="N78" s="1021"/>
      <c r="O78" s="550"/>
      <c r="P78" s="550"/>
      <c r="Q78" s="550"/>
      <c r="R78" s="550"/>
      <c r="S78" s="550"/>
      <c r="T78" s="550"/>
      <c r="U78" s="550"/>
      <c r="V78" s="550"/>
      <c r="W78" s="550"/>
      <c r="X78" s="550"/>
      <c r="Y78" s="550"/>
      <c r="Z78" s="550"/>
      <c r="AA78" s="550"/>
      <c r="AB78" s="550"/>
      <c r="AC78" s="550"/>
    </row>
    <row r="79" spans="1:29" s="551" customFormat="1" ht="14.25" customHeight="1">
      <c r="A79" s="561" t="s">
        <v>501</v>
      </c>
      <c r="B79" s="562"/>
      <c r="C79" s="562"/>
      <c r="D79" s="562"/>
      <c r="E79" s="562"/>
      <c r="F79" s="562"/>
      <c r="G79" s="562"/>
      <c r="H79" s="562"/>
      <c r="I79" s="563"/>
      <c r="J79" s="563"/>
      <c r="K79" s="562"/>
      <c r="L79" s="562"/>
      <c r="M79" s="562"/>
      <c r="N79" s="564"/>
      <c r="O79" s="550"/>
      <c r="P79" s="550"/>
      <c r="Q79" s="550"/>
      <c r="R79" s="550"/>
      <c r="S79" s="550"/>
      <c r="T79" s="550"/>
      <c r="U79" s="550"/>
      <c r="V79" s="550"/>
      <c r="W79" s="550"/>
      <c r="X79" s="550"/>
      <c r="Y79" s="550"/>
      <c r="Z79" s="550"/>
      <c r="AA79" s="550"/>
      <c r="AB79" s="550"/>
      <c r="AC79" s="550"/>
    </row>
    <row r="80" spans="1:29" ht="12.75" customHeight="1">
      <c r="A80" s="555" t="s">
        <v>471</v>
      </c>
      <c r="B80" s="1028" t="s">
        <v>502</v>
      </c>
      <c r="C80" s="1028"/>
      <c r="D80" s="1028"/>
      <c r="E80" s="1028"/>
      <c r="F80" s="1028"/>
      <c r="G80" s="1028" t="s">
        <v>473</v>
      </c>
      <c r="H80" s="1028"/>
      <c r="I80" s="1029" t="s">
        <v>474</v>
      </c>
      <c r="J80" s="1029"/>
      <c r="K80" s="1028" t="s">
        <v>503</v>
      </c>
      <c r="L80" s="1028"/>
      <c r="M80" s="1028"/>
      <c r="N80" s="1028"/>
    </row>
    <row r="81" spans="1:29" ht="12.75" customHeight="1">
      <c r="A81" s="572"/>
      <c r="B81" s="1023"/>
      <c r="C81" s="1023"/>
      <c r="D81" s="1023"/>
      <c r="E81" s="1023"/>
      <c r="F81" s="1023"/>
      <c r="G81" s="1023"/>
      <c r="H81" s="1023"/>
      <c r="I81" s="1024"/>
      <c r="J81" s="1024"/>
      <c r="K81" s="1025"/>
      <c r="L81" s="1025"/>
      <c r="M81" s="1025"/>
      <c r="N81" s="1025"/>
    </row>
    <row r="82" spans="1:29" ht="12.75" customHeight="1">
      <c r="A82" s="572"/>
      <c r="B82" s="1023"/>
      <c r="C82" s="1023"/>
      <c r="D82" s="1023"/>
      <c r="E82" s="1023"/>
      <c r="F82" s="1023"/>
      <c r="G82" s="1023"/>
      <c r="H82" s="1023"/>
      <c r="I82" s="1024"/>
      <c r="J82" s="1024"/>
      <c r="K82" s="1025"/>
      <c r="L82" s="1025"/>
      <c r="M82" s="1025"/>
      <c r="N82" s="1025"/>
    </row>
    <row r="83" spans="1:29" s="551" customFormat="1" ht="15.75" customHeight="1">
      <c r="A83" s="1021" t="s">
        <v>504</v>
      </c>
      <c r="B83" s="1021"/>
      <c r="C83" s="1021"/>
      <c r="D83" s="1021"/>
      <c r="E83" s="1021"/>
      <c r="F83" s="1021"/>
      <c r="G83" s="1021"/>
      <c r="H83" s="1021"/>
      <c r="I83" s="1021"/>
      <c r="J83" s="1021"/>
      <c r="K83" s="1021"/>
      <c r="L83" s="1021"/>
      <c r="M83" s="1021"/>
      <c r="N83" s="1021"/>
      <c r="O83" s="550"/>
      <c r="P83" s="550"/>
      <c r="Q83" s="550"/>
      <c r="R83" s="550"/>
      <c r="S83" s="550"/>
      <c r="T83" s="550"/>
      <c r="U83" s="550"/>
      <c r="V83" s="550"/>
      <c r="W83" s="550"/>
      <c r="X83" s="550"/>
      <c r="Y83" s="550"/>
      <c r="Z83" s="550"/>
      <c r="AA83" s="550"/>
      <c r="AB83" s="550"/>
      <c r="AC83" s="550"/>
    </row>
    <row r="84" spans="1:29" ht="12.75" customHeight="1">
      <c r="A84" s="1022"/>
      <c r="B84" s="1022"/>
      <c r="C84" s="1016"/>
      <c r="D84" s="1016"/>
      <c r="E84" s="1016"/>
      <c r="F84" s="573"/>
      <c r="G84" s="574"/>
      <c r="H84" s="574"/>
      <c r="I84" s="575" t="s">
        <v>505</v>
      </c>
      <c r="J84" s="576"/>
      <c r="K84" s="575" t="s">
        <v>447</v>
      </c>
      <c r="L84" s="1017"/>
      <c r="M84" s="1017"/>
      <c r="N84" s="1017"/>
    </row>
    <row r="85" spans="1:29" ht="12.75" customHeight="1">
      <c r="A85" s="1015" t="s">
        <v>506</v>
      </c>
      <c r="B85" s="1015"/>
      <c r="C85" s="1018"/>
      <c r="D85" s="1018"/>
      <c r="E85" s="1018"/>
      <c r="F85" s="577" t="s">
        <v>507</v>
      </c>
      <c r="G85" s="578"/>
      <c r="H85" s="578"/>
      <c r="I85" s="579" t="s">
        <v>508</v>
      </c>
      <c r="J85" s="580"/>
      <c r="K85" s="575" t="s">
        <v>469</v>
      </c>
      <c r="L85" s="1017"/>
      <c r="M85" s="1017"/>
      <c r="N85" s="1017"/>
    </row>
    <row r="86" spans="1:29" ht="15.75" customHeight="1">
      <c r="A86" s="1019"/>
      <c r="B86" s="1019"/>
      <c r="C86" s="1020"/>
      <c r="D86" s="1020"/>
      <c r="E86" s="1020"/>
      <c r="F86" s="581"/>
      <c r="G86" s="581"/>
      <c r="H86" s="581"/>
      <c r="I86" s="575" t="s">
        <v>505</v>
      </c>
      <c r="J86" s="576"/>
      <c r="K86" s="575" t="s">
        <v>447</v>
      </c>
      <c r="L86" s="1017"/>
      <c r="M86" s="1017"/>
      <c r="N86" s="1017"/>
    </row>
    <row r="87" spans="1:29" ht="12.75" customHeight="1">
      <c r="A87" s="1015" t="s">
        <v>509</v>
      </c>
      <c r="B87" s="1015"/>
      <c r="C87" s="1018"/>
      <c r="D87" s="1018"/>
      <c r="E87" s="1018"/>
      <c r="F87" s="577" t="s">
        <v>507</v>
      </c>
      <c r="G87" s="578"/>
      <c r="H87" s="578"/>
      <c r="I87" s="579" t="s">
        <v>508</v>
      </c>
      <c r="J87" s="580"/>
      <c r="K87" s="575" t="s">
        <v>469</v>
      </c>
      <c r="L87" s="1017"/>
      <c r="M87" s="1017"/>
      <c r="N87" s="1017"/>
    </row>
    <row r="88" spans="1:29" ht="6" customHeight="1">
      <c r="A88" s="582"/>
      <c r="B88" s="579"/>
      <c r="C88" s="579"/>
      <c r="D88" s="579"/>
      <c r="E88" s="579"/>
      <c r="F88" s="579"/>
      <c r="G88" s="579"/>
      <c r="H88" s="579"/>
      <c r="I88" s="579"/>
      <c r="J88" s="579"/>
      <c r="K88" s="579"/>
      <c r="L88" s="579"/>
      <c r="M88" s="579"/>
      <c r="N88" s="583"/>
    </row>
    <row r="89" spans="1:29" s="551" customFormat="1" ht="15.75" customHeight="1">
      <c r="A89" s="1014" t="s">
        <v>510</v>
      </c>
      <c r="B89" s="1014"/>
      <c r="C89" s="1014"/>
      <c r="D89" s="1014"/>
      <c r="E89" s="1014"/>
      <c r="F89" s="1014"/>
      <c r="G89" s="1014"/>
      <c r="H89" s="1014"/>
      <c r="I89" s="1014"/>
      <c r="J89" s="1014"/>
      <c r="K89" s="1014"/>
      <c r="L89" s="1014"/>
      <c r="M89" s="1014"/>
      <c r="N89" s="1014"/>
      <c r="O89" s="550"/>
      <c r="P89" s="550"/>
      <c r="Q89" s="550"/>
      <c r="R89" s="550"/>
      <c r="S89" s="550"/>
      <c r="T89" s="550"/>
      <c r="U89" s="550"/>
      <c r="V89" s="550"/>
      <c r="W89" s="550"/>
      <c r="X89" s="550"/>
      <c r="Y89" s="550"/>
      <c r="Z89" s="550"/>
      <c r="AA89" s="550"/>
      <c r="AB89" s="550"/>
      <c r="AC89" s="550"/>
    </row>
    <row r="90" spans="1:29" ht="12.75" customHeight="1">
      <c r="A90" s="1015" t="s">
        <v>511</v>
      </c>
      <c r="B90" s="1015"/>
      <c r="C90" s="1016"/>
      <c r="D90" s="1016"/>
      <c r="E90" s="1016"/>
      <c r="F90" s="573"/>
      <c r="G90" s="574"/>
      <c r="H90" s="574"/>
      <c r="I90" s="573" t="s">
        <v>175</v>
      </c>
      <c r="J90" s="573"/>
      <c r="K90" s="575" t="s">
        <v>447</v>
      </c>
      <c r="L90" s="1017"/>
      <c r="M90" s="1017"/>
      <c r="N90" s="1017"/>
    </row>
    <row r="91" spans="1:29" ht="12.75" customHeight="1">
      <c r="A91" s="1015" t="s">
        <v>512</v>
      </c>
      <c r="B91" s="1015"/>
      <c r="C91" s="1018"/>
      <c r="D91" s="1018"/>
      <c r="E91" s="1018"/>
      <c r="F91" s="577" t="s">
        <v>507</v>
      </c>
      <c r="G91" s="578"/>
      <c r="H91" s="578"/>
      <c r="I91" s="575" t="s">
        <v>513</v>
      </c>
      <c r="J91" s="578"/>
      <c r="K91" s="575" t="s">
        <v>469</v>
      </c>
      <c r="L91" s="1017"/>
      <c r="M91" s="1017"/>
      <c r="N91" s="1017"/>
    </row>
    <row r="92" spans="1:29" ht="6" customHeight="1">
      <c r="A92" s="584"/>
      <c r="B92" s="585"/>
      <c r="C92" s="585"/>
      <c r="D92" s="585"/>
      <c r="E92" s="585"/>
      <c r="F92" s="585"/>
      <c r="G92" s="585"/>
      <c r="H92" s="585"/>
      <c r="I92" s="585"/>
      <c r="J92" s="585"/>
      <c r="K92" s="585"/>
      <c r="L92" s="585"/>
      <c r="M92" s="585"/>
      <c r="N92" s="586"/>
    </row>
  </sheetData>
  <mergeCells count="218">
    <mergeCell ref="E1:J2"/>
    <mergeCell ref="A3:C3"/>
    <mergeCell ref="F4:J4"/>
    <mergeCell ref="F5:J5"/>
    <mergeCell ref="L5:N5"/>
    <mergeCell ref="F6:J6"/>
    <mergeCell ref="L6:N6"/>
    <mergeCell ref="A8:N8"/>
    <mergeCell ref="A9:B9"/>
    <mergeCell ref="C9:G9"/>
    <mergeCell ref="H9:I9"/>
    <mergeCell ref="J9:N9"/>
    <mergeCell ref="A10:B10"/>
    <mergeCell ref="C10:G10"/>
    <mergeCell ref="H10:I10"/>
    <mergeCell ref="J10:N10"/>
    <mergeCell ref="A13:B13"/>
    <mergeCell ref="C13:G13"/>
    <mergeCell ref="H13:I13"/>
    <mergeCell ref="J13:N13"/>
    <mergeCell ref="A14:B14"/>
    <mergeCell ref="C14:G14"/>
    <mergeCell ref="H14:I14"/>
    <mergeCell ref="J14:N14"/>
    <mergeCell ref="A11:B11"/>
    <mergeCell ref="C11:G11"/>
    <mergeCell ref="H11:I11"/>
    <mergeCell ref="J11:N11"/>
    <mergeCell ref="A12:B12"/>
    <mergeCell ref="C12:G12"/>
    <mergeCell ref="H12:I12"/>
    <mergeCell ref="J12:N12"/>
    <mergeCell ref="A15:N15"/>
    <mergeCell ref="A16:G29"/>
    <mergeCell ref="H16:N29"/>
    <mergeCell ref="A30:N30"/>
    <mergeCell ref="A31:C31"/>
    <mergeCell ref="D31:F31"/>
    <mergeCell ref="G31:I31"/>
    <mergeCell ref="J31:K31"/>
    <mergeCell ref="L31:N31"/>
    <mergeCell ref="A32:C32"/>
    <mergeCell ref="D32:F32"/>
    <mergeCell ref="G32:I32"/>
    <mergeCell ref="J32:K32"/>
    <mergeCell ref="L32:N32"/>
    <mergeCell ref="A33:C33"/>
    <mergeCell ref="D33:F33"/>
    <mergeCell ref="G33:I33"/>
    <mergeCell ref="J33:K33"/>
    <mergeCell ref="L33:N33"/>
    <mergeCell ref="A36:N36"/>
    <mergeCell ref="B37:F37"/>
    <mergeCell ref="G37:H37"/>
    <mergeCell ref="I37:J37"/>
    <mergeCell ref="K37:L37"/>
    <mergeCell ref="M37:N37"/>
    <mergeCell ref="A34:C34"/>
    <mergeCell ref="D34:F34"/>
    <mergeCell ref="G34:I34"/>
    <mergeCell ref="J34:K34"/>
    <mergeCell ref="L34:N34"/>
    <mergeCell ref="A35:C35"/>
    <mergeCell ref="D35:F35"/>
    <mergeCell ref="G35:I35"/>
    <mergeCell ref="J35:K35"/>
    <mergeCell ref="L35:N35"/>
    <mergeCell ref="A40:N40"/>
    <mergeCell ref="A41:G41"/>
    <mergeCell ref="H41:M41"/>
    <mergeCell ref="N41:N42"/>
    <mergeCell ref="A42:B42"/>
    <mergeCell ref="C42:M42"/>
    <mergeCell ref="B38:F38"/>
    <mergeCell ref="G38:H38"/>
    <mergeCell ref="I38:J38"/>
    <mergeCell ref="K38:L38"/>
    <mergeCell ref="M38:N38"/>
    <mergeCell ref="B39:F39"/>
    <mergeCell ref="G39:H39"/>
    <mergeCell ref="I39:J39"/>
    <mergeCell ref="K39:L39"/>
    <mergeCell ref="M39:N39"/>
    <mergeCell ref="C46:M46"/>
    <mergeCell ref="A47:B47"/>
    <mergeCell ref="C47:M47"/>
    <mergeCell ref="A48:B48"/>
    <mergeCell ref="C48:M48"/>
    <mergeCell ref="A49:B49"/>
    <mergeCell ref="C49:M49"/>
    <mergeCell ref="A43:B43"/>
    <mergeCell ref="C43:M43"/>
    <mergeCell ref="A44:B44"/>
    <mergeCell ref="C44:M44"/>
    <mergeCell ref="A45:B45"/>
    <mergeCell ref="C45:M45"/>
    <mergeCell ref="A54:B54"/>
    <mergeCell ref="C54:M54"/>
    <mergeCell ref="A55:B55"/>
    <mergeCell ref="C55:M55"/>
    <mergeCell ref="A56:B56"/>
    <mergeCell ref="C56:M56"/>
    <mergeCell ref="C50:M50"/>
    <mergeCell ref="A51:B51"/>
    <mergeCell ref="C51:M51"/>
    <mergeCell ref="C52:M52"/>
    <mergeCell ref="A53:B53"/>
    <mergeCell ref="C53:M53"/>
    <mergeCell ref="A60:D60"/>
    <mergeCell ref="E60:F60"/>
    <mergeCell ref="G60:H60"/>
    <mergeCell ref="I60:J60"/>
    <mergeCell ref="K60:L60"/>
    <mergeCell ref="M60:N60"/>
    <mergeCell ref="A57:B57"/>
    <mergeCell ref="C57:M57"/>
    <mergeCell ref="A58:N58"/>
    <mergeCell ref="A59:D59"/>
    <mergeCell ref="E59:F59"/>
    <mergeCell ref="G59:H59"/>
    <mergeCell ref="I59:J59"/>
    <mergeCell ref="K59:L59"/>
    <mergeCell ref="M59:N59"/>
    <mergeCell ref="A62:N62"/>
    <mergeCell ref="B64:F64"/>
    <mergeCell ref="G64:H64"/>
    <mergeCell ref="I64:J64"/>
    <mergeCell ref="K64:L64"/>
    <mergeCell ref="M64:N64"/>
    <mergeCell ref="A61:D61"/>
    <mergeCell ref="E61:F61"/>
    <mergeCell ref="G61:H61"/>
    <mergeCell ref="I61:J61"/>
    <mergeCell ref="K61:L61"/>
    <mergeCell ref="M61:N61"/>
    <mergeCell ref="B65:F65"/>
    <mergeCell ref="G65:H65"/>
    <mergeCell ref="I65:J65"/>
    <mergeCell ref="K65:L65"/>
    <mergeCell ref="M65:N65"/>
    <mergeCell ref="B66:F66"/>
    <mergeCell ref="G66:H66"/>
    <mergeCell ref="I66:J66"/>
    <mergeCell ref="K66:L66"/>
    <mergeCell ref="M66:N66"/>
    <mergeCell ref="B67:F67"/>
    <mergeCell ref="G67:H67"/>
    <mergeCell ref="I67:J67"/>
    <mergeCell ref="K67:L67"/>
    <mergeCell ref="M67:N67"/>
    <mergeCell ref="B68:F68"/>
    <mergeCell ref="G68:H68"/>
    <mergeCell ref="I68:J68"/>
    <mergeCell ref="K68:L68"/>
    <mergeCell ref="M68:N68"/>
    <mergeCell ref="B72:F72"/>
    <mergeCell ref="G72:H72"/>
    <mergeCell ref="I72:J72"/>
    <mergeCell ref="K72:L72"/>
    <mergeCell ref="B73:F73"/>
    <mergeCell ref="G73:H73"/>
    <mergeCell ref="I73:J73"/>
    <mergeCell ref="K73:L73"/>
    <mergeCell ref="A69:N69"/>
    <mergeCell ref="B70:F70"/>
    <mergeCell ref="G70:H70"/>
    <mergeCell ref="I70:J70"/>
    <mergeCell ref="K70:N70"/>
    <mergeCell ref="B71:F71"/>
    <mergeCell ref="G71:H71"/>
    <mergeCell ref="I71:J71"/>
    <mergeCell ref="K71:L71"/>
    <mergeCell ref="B74:F74"/>
    <mergeCell ref="G74:H74"/>
    <mergeCell ref="I74:J74"/>
    <mergeCell ref="K74:L74"/>
    <mergeCell ref="A75:N75"/>
    <mergeCell ref="B76:F76"/>
    <mergeCell ref="G76:H76"/>
    <mergeCell ref="I76:J76"/>
    <mergeCell ref="K76:N76"/>
    <mergeCell ref="B77:F77"/>
    <mergeCell ref="G77:H77"/>
    <mergeCell ref="I77:J77"/>
    <mergeCell ref="K77:L77"/>
    <mergeCell ref="A78:N78"/>
    <mergeCell ref="B80:F80"/>
    <mergeCell ref="G80:H80"/>
    <mergeCell ref="I80:J80"/>
    <mergeCell ref="K80:N80"/>
    <mergeCell ref="A83:N83"/>
    <mergeCell ref="A84:B84"/>
    <mergeCell ref="C84:E84"/>
    <mergeCell ref="L84:N84"/>
    <mergeCell ref="A85:B85"/>
    <mergeCell ref="C85:E85"/>
    <mergeCell ref="L85:N85"/>
    <mergeCell ref="B81:F81"/>
    <mergeCell ref="G81:H81"/>
    <mergeCell ref="I81:J81"/>
    <mergeCell ref="K81:N81"/>
    <mergeCell ref="B82:F82"/>
    <mergeCell ref="G82:H82"/>
    <mergeCell ref="I82:J82"/>
    <mergeCell ref="K82:N82"/>
    <mergeCell ref="A89:N89"/>
    <mergeCell ref="A90:B90"/>
    <mergeCell ref="C90:E90"/>
    <mergeCell ref="L90:N90"/>
    <mergeCell ref="A91:B91"/>
    <mergeCell ref="C91:E91"/>
    <mergeCell ref="L91:N91"/>
    <mergeCell ref="A86:B86"/>
    <mergeCell ref="C86:E86"/>
    <mergeCell ref="L86:N86"/>
    <mergeCell ref="A87:B87"/>
    <mergeCell ref="C87:E87"/>
    <mergeCell ref="L87:N87"/>
  </mergeCells>
  <dataValidations count="1">
    <dataValidation type="list" allowBlank="1" showInputMessage="1" showErrorMessage="1" sqref="C12" xr:uid="{D33E8452-B0F9-431E-9696-02EE8A2026B5}">
      <formula1>$AE$10:$AE$15</formula1>
    </dataValidation>
  </dataValidations>
  <pageMargins left="0.39370078740157477" right="0.31535433070866142" top="0.74803149606299213" bottom="0.68976377952755907" header="0.3543307086614173" footer="0.47204724409448823"/>
  <pageSetup paperSize="0" scale="96" fitToWidth="0" fitToHeight="0" orientation="portrait" horizontalDpi="0" verticalDpi="0" copies="0"/>
  <headerFooter alignWithMargins="0">
    <oddFooter>&amp;L&amp;"Arial1,Regular"&amp;7Form# PH-CAR, Rev. Apr -14&amp;R&amp;"Arial1,Regular"&amp;7Page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522C7-50AD-48A8-8C0E-A2EF42189D29}">
  <sheetPr>
    <tabColor rgb="FFC00000"/>
  </sheetPr>
  <dimension ref="A1:AMJ60"/>
  <sheetViews>
    <sheetView workbookViewId="0">
      <selection activeCell="AB43" sqref="AB43"/>
    </sheetView>
  </sheetViews>
  <sheetFormatPr defaultRowHeight="11.25" customHeight="1"/>
  <cols>
    <col min="1" max="11" width="9.140625" style="589" customWidth="1"/>
    <col min="12" max="12" width="3.5703125" style="589" customWidth="1"/>
    <col min="13" max="1024" width="9.140625" style="589" customWidth="1"/>
    <col min="1025" max="16384" width="9.140625" style="587"/>
  </cols>
  <sheetData>
    <row r="1" spans="1:13" ht="14.25">
      <c r="A1" s="588"/>
      <c r="B1" s="588"/>
      <c r="C1" s="588"/>
      <c r="D1" s="588"/>
      <c r="E1" s="588"/>
      <c r="F1" s="588"/>
      <c r="G1" s="588"/>
      <c r="H1" s="588"/>
      <c r="I1" s="588"/>
      <c r="J1" s="588"/>
      <c r="K1" s="588"/>
      <c r="L1" s="588"/>
      <c r="M1" s="588"/>
    </row>
    <row r="2" spans="1:13" ht="14.25">
      <c r="A2" s="588"/>
      <c r="B2" s="588"/>
      <c r="C2" s="588"/>
      <c r="D2" s="588"/>
      <c r="E2" s="588"/>
      <c r="F2" s="588"/>
      <c r="G2" s="588"/>
      <c r="H2" s="588"/>
      <c r="I2" s="588"/>
      <c r="J2" s="588"/>
      <c r="K2" s="588"/>
      <c r="L2" s="588"/>
      <c r="M2" s="588"/>
    </row>
    <row r="3" spans="1:13" ht="14.25">
      <c r="A3" s="588"/>
      <c r="B3" s="588"/>
      <c r="C3" s="588"/>
      <c r="D3" s="588"/>
      <c r="E3" s="588"/>
      <c r="F3" s="588"/>
      <c r="G3" s="588"/>
      <c r="H3" s="588"/>
      <c r="I3" s="588"/>
      <c r="J3" s="588"/>
      <c r="K3" s="588"/>
      <c r="L3" s="588"/>
      <c r="M3" s="588"/>
    </row>
    <row r="4" spans="1:13" ht="14.25">
      <c r="A4" s="588"/>
      <c r="B4" s="588"/>
      <c r="C4" s="588"/>
      <c r="D4" s="588"/>
      <c r="E4" s="588"/>
      <c r="F4" s="588"/>
      <c r="G4" s="588"/>
      <c r="H4" s="588"/>
      <c r="I4" s="588"/>
      <c r="J4" s="588"/>
      <c r="K4" s="588"/>
      <c r="L4" s="588"/>
      <c r="M4" s="588"/>
    </row>
    <row r="5" spans="1:13" ht="14.25">
      <c r="A5" s="588"/>
      <c r="B5" s="588"/>
      <c r="C5" s="588"/>
      <c r="D5" s="588"/>
      <c r="E5" s="588"/>
      <c r="F5" s="588"/>
      <c r="G5" s="588"/>
      <c r="H5" s="588"/>
      <c r="I5" s="588"/>
      <c r="J5" s="588"/>
      <c r="K5" s="588"/>
      <c r="L5" s="588"/>
      <c r="M5" s="588"/>
    </row>
    <row r="6" spans="1:13" ht="14.25">
      <c r="A6" s="588"/>
      <c r="B6" s="588"/>
      <c r="C6" s="588"/>
      <c r="D6" s="588"/>
      <c r="E6" s="588"/>
      <c r="F6" s="588"/>
      <c r="G6" s="588"/>
      <c r="H6" s="588"/>
      <c r="I6" s="588"/>
      <c r="J6" s="588"/>
      <c r="K6" s="588"/>
      <c r="L6" s="588"/>
      <c r="M6" s="588"/>
    </row>
    <row r="7" spans="1:13" ht="14.25">
      <c r="A7" s="588"/>
      <c r="B7" s="588"/>
      <c r="C7" s="588"/>
      <c r="D7" s="588"/>
      <c r="E7" s="588"/>
      <c r="F7" s="588"/>
      <c r="G7" s="588"/>
      <c r="H7" s="588"/>
      <c r="I7" s="588"/>
      <c r="J7" s="588"/>
      <c r="K7" s="588"/>
      <c r="L7" s="588"/>
      <c r="M7" s="588"/>
    </row>
    <row r="8" spans="1:13" ht="14.25">
      <c r="A8" s="588"/>
      <c r="B8" s="588"/>
      <c r="C8" s="588"/>
      <c r="D8" s="588"/>
      <c r="E8" s="588"/>
      <c r="F8" s="588"/>
      <c r="G8" s="588"/>
      <c r="H8" s="588"/>
      <c r="I8" s="588"/>
      <c r="J8" s="588"/>
      <c r="K8" s="588"/>
      <c r="L8" s="588"/>
      <c r="M8" s="588"/>
    </row>
    <row r="9" spans="1:13" ht="14.25">
      <c r="A9" s="588"/>
      <c r="B9" s="588"/>
      <c r="C9" s="588"/>
      <c r="D9" s="588"/>
      <c r="E9" s="588"/>
      <c r="F9" s="588"/>
      <c r="G9" s="588"/>
      <c r="H9" s="588"/>
      <c r="I9" s="588"/>
      <c r="J9" s="588"/>
      <c r="K9" s="588"/>
      <c r="L9" s="588"/>
      <c r="M9" s="588"/>
    </row>
    <row r="10" spans="1:13" ht="14.25">
      <c r="A10" s="588"/>
      <c r="B10" s="588"/>
      <c r="C10" s="588"/>
      <c r="D10" s="588"/>
      <c r="E10" s="588"/>
      <c r="F10" s="588"/>
      <c r="G10" s="588"/>
      <c r="H10" s="588"/>
      <c r="I10" s="588"/>
      <c r="J10" s="588"/>
      <c r="K10" s="588"/>
      <c r="L10" s="588"/>
      <c r="M10" s="588"/>
    </row>
    <row r="11" spans="1:13" ht="14.25">
      <c r="A11" s="588"/>
      <c r="B11" s="588"/>
      <c r="C11" s="588"/>
      <c r="D11" s="588"/>
      <c r="E11" s="588"/>
      <c r="F11" s="588"/>
      <c r="G11" s="588"/>
      <c r="H11" s="588"/>
      <c r="I11" s="588"/>
      <c r="J11" s="588"/>
      <c r="K11" s="588"/>
      <c r="L11" s="588"/>
      <c r="M11" s="588"/>
    </row>
    <row r="12" spans="1:13" ht="14.25">
      <c r="A12" s="588"/>
      <c r="B12" s="588"/>
      <c r="C12" s="588"/>
      <c r="D12" s="588"/>
      <c r="E12" s="588"/>
      <c r="F12" s="588"/>
      <c r="G12" s="588"/>
      <c r="H12" s="588"/>
      <c r="I12" s="588"/>
      <c r="J12" s="588"/>
      <c r="K12" s="588"/>
      <c r="L12" s="588"/>
      <c r="M12" s="588"/>
    </row>
    <row r="13" spans="1:13" ht="14.25">
      <c r="A13" s="588"/>
      <c r="B13" s="588"/>
      <c r="C13" s="588"/>
      <c r="D13" s="588"/>
      <c r="E13" s="588"/>
      <c r="F13" s="588"/>
      <c r="G13" s="588"/>
      <c r="H13" s="588"/>
      <c r="I13" s="588"/>
      <c r="J13" s="588"/>
      <c r="K13" s="588"/>
      <c r="L13" s="588"/>
      <c r="M13" s="588"/>
    </row>
    <row r="14" spans="1:13" ht="14.25">
      <c r="A14" s="588"/>
      <c r="B14" s="588"/>
      <c r="C14" s="588"/>
      <c r="D14" s="588"/>
      <c r="E14" s="588"/>
      <c r="F14" s="588"/>
      <c r="G14" s="588"/>
      <c r="H14" s="588"/>
      <c r="I14" s="588"/>
      <c r="J14" s="588"/>
      <c r="K14" s="588"/>
      <c r="L14" s="588"/>
      <c r="M14" s="588"/>
    </row>
    <row r="15" spans="1:13" ht="14.25">
      <c r="A15" s="588"/>
      <c r="B15" s="588"/>
      <c r="C15" s="588"/>
      <c r="D15" s="588"/>
      <c r="E15" s="588"/>
      <c r="F15" s="588"/>
      <c r="G15" s="588"/>
      <c r="H15" s="588"/>
      <c r="I15" s="588"/>
      <c r="J15" s="588"/>
      <c r="K15" s="588"/>
      <c r="L15" s="588"/>
      <c r="M15" s="588"/>
    </row>
    <row r="16" spans="1:13" ht="14.25">
      <c r="A16" s="588"/>
      <c r="B16" s="588"/>
      <c r="C16" s="588"/>
      <c r="D16" s="588"/>
      <c r="E16" s="588"/>
      <c r="F16" s="588"/>
      <c r="G16" s="588"/>
      <c r="H16" s="588"/>
      <c r="I16" s="588"/>
      <c r="J16" s="588"/>
      <c r="K16" s="588"/>
      <c r="L16" s="588"/>
      <c r="M16" s="588"/>
    </row>
    <row r="17" spans="1:13" ht="14.25">
      <c r="A17" s="588"/>
      <c r="B17" s="588"/>
      <c r="C17" s="588"/>
      <c r="D17" s="588"/>
      <c r="E17" s="588"/>
      <c r="F17" s="588"/>
      <c r="G17" s="588"/>
      <c r="H17" s="588"/>
      <c r="I17" s="588"/>
      <c r="J17" s="588"/>
      <c r="K17" s="588"/>
      <c r="L17" s="588"/>
      <c r="M17" s="588"/>
    </row>
    <row r="18" spans="1:13" ht="14.25">
      <c r="A18" s="588"/>
      <c r="B18" s="588"/>
      <c r="C18" s="588"/>
      <c r="D18" s="588"/>
      <c r="E18" s="588"/>
      <c r="F18" s="588"/>
      <c r="G18" s="588"/>
      <c r="H18" s="588"/>
      <c r="I18" s="588"/>
      <c r="J18" s="588"/>
      <c r="K18" s="588"/>
      <c r="L18" s="588"/>
      <c r="M18" s="588"/>
    </row>
    <row r="19" spans="1:13" ht="14.25">
      <c r="A19" s="588"/>
      <c r="B19" s="588"/>
      <c r="C19" s="588"/>
      <c r="D19" s="588"/>
      <c r="E19" s="588"/>
      <c r="F19" s="588"/>
      <c r="G19" s="588"/>
      <c r="H19" s="588"/>
      <c r="I19" s="588"/>
      <c r="J19" s="588"/>
      <c r="K19" s="588"/>
      <c r="L19" s="588"/>
      <c r="M19" s="588"/>
    </row>
    <row r="20" spans="1:13" ht="14.25">
      <c r="A20" s="588"/>
      <c r="B20" s="588"/>
      <c r="C20" s="588"/>
      <c r="D20" s="588"/>
      <c r="E20" s="588"/>
      <c r="F20" s="588"/>
      <c r="G20" s="588"/>
      <c r="H20" s="588"/>
      <c r="I20" s="588"/>
      <c r="J20" s="588"/>
      <c r="K20" s="588"/>
      <c r="L20" s="588"/>
      <c r="M20" s="588"/>
    </row>
    <row r="21" spans="1:13" ht="14.25">
      <c r="A21" s="588"/>
      <c r="B21" s="588"/>
      <c r="C21" s="588"/>
      <c r="D21" s="588"/>
      <c r="E21" s="588"/>
      <c r="F21" s="588"/>
      <c r="G21" s="588"/>
      <c r="H21" s="588"/>
      <c r="I21" s="588"/>
      <c r="J21" s="588"/>
      <c r="K21" s="588"/>
      <c r="L21" s="588"/>
      <c r="M21" s="588"/>
    </row>
    <row r="22" spans="1:13" ht="14.25">
      <c r="A22" s="588"/>
      <c r="B22" s="588"/>
      <c r="C22" s="588"/>
      <c r="D22" s="588"/>
      <c r="E22" s="588"/>
      <c r="F22" s="588"/>
      <c r="G22" s="588"/>
      <c r="H22" s="588"/>
      <c r="I22" s="588"/>
      <c r="J22" s="588"/>
      <c r="K22" s="588"/>
      <c r="L22" s="588"/>
      <c r="M22" s="588"/>
    </row>
    <row r="23" spans="1:13" ht="14.25">
      <c r="A23" s="588"/>
      <c r="B23" s="588"/>
      <c r="C23" s="588"/>
      <c r="D23" s="588"/>
      <c r="E23" s="588"/>
      <c r="F23" s="588"/>
      <c r="G23" s="588"/>
      <c r="H23" s="588"/>
      <c r="I23" s="588"/>
      <c r="J23" s="588"/>
      <c r="K23" s="588"/>
      <c r="L23" s="588"/>
      <c r="M23" s="588"/>
    </row>
    <row r="24" spans="1:13" ht="14.25">
      <c r="A24" s="588"/>
      <c r="B24" s="588"/>
      <c r="C24" s="588"/>
      <c r="D24" s="588"/>
      <c r="E24" s="588"/>
      <c r="F24" s="588"/>
      <c r="G24" s="588"/>
      <c r="H24" s="588"/>
      <c r="I24" s="588"/>
      <c r="J24" s="588"/>
      <c r="K24" s="588"/>
      <c r="L24" s="588"/>
      <c r="M24" s="588"/>
    </row>
    <row r="25" spans="1:13" ht="14.25">
      <c r="A25" s="588"/>
      <c r="B25" s="588"/>
      <c r="C25" s="588"/>
      <c r="D25" s="588"/>
      <c r="E25" s="588"/>
      <c r="F25" s="588"/>
      <c r="G25" s="588"/>
      <c r="H25" s="588"/>
      <c r="I25" s="588"/>
      <c r="J25" s="588"/>
      <c r="K25" s="588"/>
      <c r="L25" s="588"/>
      <c r="M25" s="588"/>
    </row>
    <row r="26" spans="1:13" ht="14.25">
      <c r="A26" s="588"/>
      <c r="B26" s="588"/>
      <c r="C26" s="588"/>
      <c r="D26" s="588"/>
      <c r="E26" s="588"/>
      <c r="F26" s="588"/>
      <c r="G26" s="588"/>
      <c r="H26" s="588"/>
      <c r="I26" s="588"/>
      <c r="J26" s="588"/>
      <c r="K26" s="588"/>
      <c r="L26" s="588"/>
      <c r="M26" s="588"/>
    </row>
    <row r="27" spans="1:13" ht="14.25">
      <c r="A27" s="588"/>
      <c r="B27" s="588"/>
      <c r="C27" s="588"/>
      <c r="D27" s="588"/>
      <c r="E27" s="588"/>
      <c r="F27" s="588"/>
      <c r="G27" s="588"/>
      <c r="H27" s="588"/>
      <c r="I27" s="588"/>
      <c r="J27" s="588"/>
      <c r="K27" s="588"/>
      <c r="L27" s="588"/>
      <c r="M27" s="588"/>
    </row>
    <row r="28" spans="1:13" ht="14.25">
      <c r="A28" s="588"/>
      <c r="B28" s="588"/>
      <c r="C28" s="588"/>
      <c r="D28" s="588"/>
      <c r="E28" s="588"/>
      <c r="F28" s="588"/>
      <c r="G28" s="588"/>
      <c r="H28" s="588"/>
      <c r="I28" s="588"/>
      <c r="J28" s="588"/>
      <c r="K28" s="588"/>
      <c r="L28" s="588"/>
      <c r="M28" s="588"/>
    </row>
    <row r="29" spans="1:13" ht="14.25">
      <c r="A29" s="588"/>
      <c r="B29" s="588"/>
      <c r="C29" s="588"/>
      <c r="D29" s="588"/>
      <c r="E29" s="588"/>
      <c r="F29" s="588"/>
      <c r="G29" s="588"/>
      <c r="H29" s="588"/>
      <c r="I29" s="588"/>
      <c r="J29" s="588"/>
      <c r="K29" s="588"/>
      <c r="L29" s="588"/>
      <c r="M29" s="588"/>
    </row>
    <row r="30" spans="1:13" ht="14.25">
      <c r="A30" s="588"/>
      <c r="B30" s="588"/>
      <c r="C30" s="588"/>
      <c r="D30" s="588"/>
      <c r="E30" s="588"/>
      <c r="F30" s="588"/>
      <c r="G30" s="588"/>
      <c r="H30" s="588"/>
      <c r="I30" s="588"/>
      <c r="J30" s="588"/>
      <c r="K30" s="588"/>
      <c r="L30" s="588"/>
      <c r="M30" s="588"/>
    </row>
    <row r="31" spans="1:13" ht="14.25">
      <c r="A31" s="588"/>
      <c r="B31" s="588"/>
      <c r="C31" s="588"/>
      <c r="D31" s="588"/>
      <c r="E31" s="588"/>
      <c r="F31" s="588"/>
      <c r="G31" s="588"/>
      <c r="H31" s="588"/>
      <c r="I31" s="588"/>
      <c r="J31" s="588"/>
      <c r="K31" s="588"/>
      <c r="L31" s="588"/>
      <c r="M31" s="588"/>
    </row>
    <row r="32" spans="1:13" ht="14.25">
      <c r="A32" s="588"/>
      <c r="B32" s="588"/>
      <c r="C32" s="588"/>
      <c r="D32" s="588"/>
      <c r="E32" s="588"/>
      <c r="F32" s="588"/>
      <c r="G32" s="588"/>
      <c r="H32" s="588"/>
      <c r="I32" s="588"/>
      <c r="J32" s="588"/>
      <c r="K32" s="588"/>
      <c r="L32" s="588"/>
      <c r="M32" s="588"/>
    </row>
    <row r="33" spans="1:13" ht="14.25">
      <c r="A33" s="588"/>
      <c r="B33" s="588"/>
      <c r="C33" s="588"/>
      <c r="D33" s="588"/>
      <c r="E33" s="588"/>
      <c r="F33" s="588"/>
      <c r="G33" s="588"/>
      <c r="H33" s="588"/>
      <c r="I33" s="588"/>
      <c r="J33" s="588"/>
      <c r="K33" s="588"/>
      <c r="L33" s="588"/>
      <c r="M33" s="588"/>
    </row>
    <row r="34" spans="1:13" ht="14.25">
      <c r="A34" s="588"/>
      <c r="B34" s="588"/>
      <c r="C34" s="588"/>
      <c r="D34" s="588"/>
      <c r="E34" s="588"/>
      <c r="F34" s="588"/>
      <c r="G34" s="588"/>
      <c r="H34" s="588"/>
      <c r="I34" s="588"/>
      <c r="J34" s="588"/>
      <c r="K34" s="588"/>
      <c r="L34" s="588"/>
      <c r="M34" s="588"/>
    </row>
    <row r="35" spans="1:13" ht="14.25">
      <c r="A35" s="588"/>
      <c r="B35" s="588"/>
      <c r="C35" s="588"/>
      <c r="D35" s="588"/>
      <c r="E35" s="588"/>
      <c r="F35" s="588"/>
      <c r="G35" s="588"/>
      <c r="H35" s="588"/>
      <c r="I35" s="588"/>
      <c r="J35" s="588"/>
      <c r="K35" s="588"/>
      <c r="L35" s="588"/>
      <c r="M35" s="588"/>
    </row>
    <row r="36" spans="1:13" ht="14.25">
      <c r="A36" s="588"/>
      <c r="B36" s="588"/>
      <c r="C36" s="588"/>
      <c r="D36" s="588"/>
      <c r="E36" s="588"/>
      <c r="F36" s="588"/>
      <c r="G36" s="588"/>
      <c r="H36" s="588"/>
      <c r="I36" s="588"/>
      <c r="J36" s="588"/>
      <c r="K36" s="588"/>
      <c r="L36" s="588"/>
      <c r="M36" s="588"/>
    </row>
    <row r="37" spans="1:13" ht="14.25">
      <c r="A37" s="588"/>
      <c r="B37" s="588"/>
      <c r="C37" s="588"/>
      <c r="D37" s="588"/>
      <c r="E37" s="588"/>
      <c r="F37" s="588"/>
      <c r="G37" s="588"/>
      <c r="H37" s="588"/>
      <c r="I37" s="588"/>
      <c r="J37" s="588"/>
      <c r="K37" s="588"/>
      <c r="L37" s="588"/>
      <c r="M37" s="588"/>
    </row>
    <row r="38" spans="1:13" ht="14.25">
      <c r="A38" s="588"/>
      <c r="B38" s="588"/>
      <c r="C38" s="588"/>
      <c r="D38" s="588"/>
      <c r="E38" s="588"/>
      <c r="F38" s="588"/>
      <c r="G38" s="588"/>
      <c r="H38" s="588"/>
      <c r="I38" s="588"/>
      <c r="J38" s="588"/>
      <c r="K38" s="588"/>
      <c r="L38" s="588"/>
      <c r="M38" s="588"/>
    </row>
    <row r="39" spans="1:13" ht="14.25">
      <c r="A39" s="588"/>
      <c r="B39" s="588"/>
      <c r="C39" s="588"/>
      <c r="D39" s="588"/>
      <c r="E39" s="588"/>
      <c r="F39" s="588"/>
      <c r="G39" s="588"/>
      <c r="H39" s="588"/>
      <c r="I39" s="588"/>
      <c r="J39" s="588"/>
      <c r="K39" s="588"/>
      <c r="L39" s="588"/>
      <c r="M39" s="588"/>
    </row>
    <row r="40" spans="1:13" ht="14.25">
      <c r="A40" s="588"/>
      <c r="B40" s="588"/>
      <c r="C40" s="588"/>
      <c r="D40" s="588"/>
      <c r="E40" s="588"/>
      <c r="F40" s="588"/>
      <c r="G40" s="588"/>
      <c r="H40" s="588"/>
      <c r="I40" s="588"/>
      <c r="J40" s="588"/>
      <c r="K40" s="588"/>
      <c r="L40" s="588"/>
      <c r="M40" s="588"/>
    </row>
    <row r="41" spans="1:13" ht="14.25">
      <c r="A41" s="588"/>
      <c r="B41" s="588"/>
      <c r="C41" s="588"/>
      <c r="D41" s="588"/>
      <c r="E41" s="588"/>
      <c r="F41" s="588"/>
      <c r="G41" s="588"/>
      <c r="H41" s="588"/>
      <c r="I41" s="588"/>
      <c r="J41" s="588"/>
      <c r="K41" s="588"/>
      <c r="L41" s="588"/>
      <c r="M41" s="588"/>
    </row>
    <row r="42" spans="1:13" ht="14.25">
      <c r="A42" s="588"/>
      <c r="B42" s="588"/>
      <c r="C42" s="588"/>
      <c r="D42" s="588"/>
      <c r="E42" s="588"/>
      <c r="F42" s="588"/>
      <c r="G42" s="588"/>
      <c r="H42" s="588"/>
      <c r="I42" s="588"/>
      <c r="J42" s="588"/>
      <c r="K42" s="588"/>
      <c r="L42" s="588"/>
      <c r="M42" s="588"/>
    </row>
    <row r="43" spans="1:13" ht="14.25">
      <c r="A43" s="588"/>
      <c r="B43" s="588"/>
      <c r="C43" s="588"/>
      <c r="D43" s="588"/>
      <c r="E43" s="588"/>
      <c r="F43" s="588"/>
      <c r="G43" s="588"/>
      <c r="H43" s="588"/>
      <c r="I43" s="588"/>
      <c r="J43" s="588"/>
      <c r="K43" s="588"/>
      <c r="L43" s="588"/>
      <c r="M43" s="588"/>
    </row>
    <row r="44" spans="1:13" ht="14.25">
      <c r="A44" s="588"/>
      <c r="B44" s="588"/>
      <c r="C44" s="588"/>
      <c r="D44" s="588"/>
      <c r="E44" s="588"/>
      <c r="F44" s="588"/>
      <c r="G44" s="588"/>
      <c r="H44" s="588"/>
      <c r="I44" s="588"/>
      <c r="J44" s="588"/>
      <c r="K44" s="588"/>
      <c r="L44" s="588"/>
      <c r="M44" s="588"/>
    </row>
    <row r="45" spans="1:13" ht="14.25">
      <c r="A45" s="588"/>
      <c r="B45" s="588"/>
      <c r="C45" s="588"/>
      <c r="D45" s="588"/>
      <c r="E45" s="588"/>
      <c r="F45" s="588"/>
      <c r="G45" s="588"/>
      <c r="H45" s="588"/>
      <c r="I45" s="588"/>
      <c r="J45" s="588"/>
      <c r="K45" s="588"/>
      <c r="L45" s="588"/>
      <c r="M45" s="588"/>
    </row>
    <row r="46" spans="1:13" ht="14.25">
      <c r="A46" s="588"/>
      <c r="B46" s="588"/>
      <c r="C46" s="588"/>
      <c r="D46" s="588"/>
      <c r="E46" s="588"/>
      <c r="F46" s="588"/>
      <c r="G46" s="588"/>
      <c r="H46" s="588"/>
      <c r="I46" s="588"/>
      <c r="J46" s="588"/>
      <c r="K46" s="588"/>
      <c r="L46" s="588"/>
      <c r="M46" s="588"/>
    </row>
    <row r="47" spans="1:13" ht="14.25">
      <c r="A47" s="588"/>
      <c r="B47" s="588"/>
      <c r="C47" s="588"/>
      <c r="D47" s="588"/>
      <c r="E47" s="588"/>
      <c r="F47" s="588"/>
      <c r="G47" s="588"/>
      <c r="H47" s="588"/>
      <c r="I47" s="588"/>
      <c r="J47" s="588"/>
      <c r="K47" s="588"/>
      <c r="L47" s="588"/>
      <c r="M47" s="588"/>
    </row>
    <row r="48" spans="1:13" ht="14.25">
      <c r="A48" s="588"/>
      <c r="B48" s="588"/>
      <c r="C48" s="588"/>
      <c r="D48" s="588"/>
      <c r="E48" s="588"/>
      <c r="F48" s="588"/>
      <c r="G48" s="588"/>
      <c r="H48" s="588"/>
      <c r="I48" s="588"/>
      <c r="J48" s="588"/>
      <c r="K48" s="588"/>
      <c r="L48" s="588"/>
      <c r="M48" s="588"/>
    </row>
    <row r="49" spans="1:13" ht="14.25">
      <c r="A49" s="588"/>
      <c r="B49" s="588"/>
      <c r="C49" s="588"/>
      <c r="D49" s="588"/>
      <c r="E49" s="588"/>
      <c r="F49" s="588"/>
      <c r="G49" s="588"/>
      <c r="H49" s="588"/>
      <c r="I49" s="588"/>
      <c r="J49" s="588"/>
      <c r="K49" s="588"/>
      <c r="L49" s="588"/>
      <c r="M49" s="588"/>
    </row>
    <row r="50" spans="1:13" ht="14.25">
      <c r="A50" s="588"/>
      <c r="B50" s="588"/>
      <c r="C50" s="588"/>
      <c r="D50" s="588"/>
      <c r="E50" s="588"/>
      <c r="F50" s="588"/>
      <c r="G50" s="588"/>
      <c r="H50" s="588"/>
      <c r="I50" s="588"/>
      <c r="J50" s="588"/>
      <c r="K50" s="588"/>
      <c r="L50" s="588"/>
      <c r="M50" s="588"/>
    </row>
    <row r="51" spans="1:13" ht="14.25">
      <c r="A51" s="588"/>
      <c r="B51" s="588"/>
      <c r="C51" s="588"/>
      <c r="D51" s="588"/>
      <c r="E51" s="588"/>
      <c r="F51" s="588"/>
      <c r="G51" s="588"/>
      <c r="H51" s="588"/>
      <c r="I51" s="588"/>
      <c r="J51" s="588"/>
      <c r="K51" s="588"/>
      <c r="L51" s="588"/>
      <c r="M51" s="588"/>
    </row>
    <row r="52" spans="1:13" ht="14.25">
      <c r="A52" s="588"/>
      <c r="B52" s="588"/>
      <c r="C52" s="588"/>
      <c r="D52" s="588"/>
      <c r="E52" s="588"/>
      <c r="F52" s="588"/>
      <c r="G52" s="588"/>
      <c r="H52" s="588"/>
      <c r="I52" s="588"/>
      <c r="J52" s="588"/>
      <c r="K52" s="588"/>
      <c r="L52" s="588"/>
      <c r="M52" s="588"/>
    </row>
    <row r="53" spans="1:13" ht="14.25">
      <c r="A53" s="588"/>
      <c r="B53" s="588"/>
      <c r="C53" s="588"/>
      <c r="D53" s="588"/>
      <c r="E53" s="588"/>
      <c r="F53" s="588"/>
      <c r="G53" s="588"/>
      <c r="H53" s="588"/>
      <c r="I53" s="588"/>
      <c r="J53" s="588"/>
      <c r="K53" s="588"/>
      <c r="L53" s="588"/>
      <c r="M53" s="588"/>
    </row>
    <row r="54" spans="1:13" ht="14.25">
      <c r="A54" s="588"/>
      <c r="B54" s="588"/>
      <c r="C54" s="588"/>
      <c r="D54" s="588"/>
      <c r="E54" s="588"/>
      <c r="F54" s="588"/>
      <c r="G54" s="588"/>
      <c r="H54" s="588"/>
      <c r="I54" s="588"/>
      <c r="J54" s="588"/>
      <c r="K54" s="588"/>
      <c r="L54" s="588"/>
      <c r="M54" s="588"/>
    </row>
    <row r="55" spans="1:13" ht="14.25">
      <c r="A55" s="588"/>
      <c r="B55" s="588"/>
      <c r="C55" s="588"/>
      <c r="D55" s="588"/>
      <c r="E55" s="588"/>
      <c r="F55" s="588"/>
      <c r="G55" s="588"/>
      <c r="H55" s="588"/>
      <c r="I55" s="588"/>
      <c r="J55" s="588"/>
      <c r="K55" s="588"/>
      <c r="L55" s="588"/>
      <c r="M55" s="588"/>
    </row>
    <row r="56" spans="1:13" ht="14.25">
      <c r="A56" s="588"/>
      <c r="B56" s="588"/>
      <c r="C56" s="588"/>
      <c r="D56" s="588"/>
      <c r="E56" s="588"/>
      <c r="F56" s="588"/>
      <c r="G56" s="588"/>
      <c r="H56" s="588"/>
      <c r="I56" s="588"/>
      <c r="J56" s="588"/>
      <c r="K56" s="588"/>
      <c r="L56" s="588"/>
      <c r="M56" s="588"/>
    </row>
    <row r="57" spans="1:13" ht="14.25">
      <c r="A57" s="588"/>
      <c r="B57" s="588"/>
      <c r="C57" s="588"/>
      <c r="D57" s="588"/>
      <c r="E57" s="588"/>
      <c r="F57" s="588"/>
      <c r="G57" s="588"/>
      <c r="H57" s="588"/>
      <c r="I57" s="588"/>
      <c r="J57" s="588"/>
      <c r="K57" s="588"/>
      <c r="L57" s="588"/>
      <c r="M57" s="588"/>
    </row>
    <row r="58" spans="1:13" ht="14.25">
      <c r="A58" s="588"/>
      <c r="B58" s="588"/>
      <c r="C58" s="588"/>
      <c r="D58" s="588"/>
      <c r="E58" s="588"/>
      <c r="F58" s="588"/>
      <c r="G58" s="588"/>
      <c r="H58" s="588"/>
      <c r="I58" s="588"/>
      <c r="J58" s="588"/>
      <c r="K58" s="588"/>
      <c r="L58" s="588"/>
      <c r="M58" s="588"/>
    </row>
    <row r="59" spans="1:13" ht="12" customHeight="1">
      <c r="I59" s="590"/>
    </row>
    <row r="60" spans="1:13" ht="11.25" customHeight="1">
      <c r="I60" s="590"/>
    </row>
  </sheetData>
  <pageMargins left="0.5" right="0.5" top="0.89370078740157488" bottom="0.94291338582677175" header="0.5" footer="0.45984251968503942"/>
  <pageSetup paperSize="0" fitToWidth="0" fitToHeight="0" orientation="portrait" horizontalDpi="0" verticalDpi="0" copies="0"/>
  <headerFooter alignWithMargins="0">
    <oddFooter>&amp;L&amp;"Arial1,Regular"&amp;7Rev. 2/07&amp;C&amp;"Arial1,Regular"&amp;7(Supplemental to Corrective Action Report Form)</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2B232-238F-4D78-B287-716F3681EC67}">
  <sheetPr>
    <tabColor rgb="FFC00000"/>
  </sheetPr>
  <dimension ref="A1:IU7"/>
  <sheetViews>
    <sheetView workbookViewId="0">
      <selection activeCell="I12" sqref="I12"/>
    </sheetView>
  </sheetViews>
  <sheetFormatPr defaultRowHeight="21"/>
  <cols>
    <col min="1" max="1" width="58.85546875" style="537" customWidth="1"/>
    <col min="2" max="2" width="18.42578125" style="537" customWidth="1"/>
    <col min="3" max="3" width="14.140625" style="537" customWidth="1"/>
    <col min="4" max="4" width="9.85546875" style="537" customWidth="1"/>
    <col min="5" max="5" width="13.28515625" style="538" customWidth="1"/>
    <col min="6" max="255" width="9.7109375" style="537" customWidth="1"/>
    <col min="256" max="1023" width="12.28515625" style="539" customWidth="1"/>
    <col min="1024" max="16384" width="9.140625" style="539"/>
  </cols>
  <sheetData>
    <row r="1" spans="1:10" s="517" customFormat="1">
      <c r="A1" s="516" t="s">
        <v>532</v>
      </c>
      <c r="E1" s="518"/>
    </row>
    <row r="2" spans="1:10" s="517" customFormat="1" ht="34.5" customHeight="1">
      <c r="A2" s="519" t="s">
        <v>531</v>
      </c>
      <c r="B2" s="520"/>
      <c r="E2" s="518"/>
    </row>
    <row r="3" spans="1:10" s="517" customFormat="1" ht="30" customHeight="1">
      <c r="A3" s="521" t="s">
        <v>533</v>
      </c>
      <c r="B3" s="521" t="s">
        <v>534</v>
      </c>
      <c r="C3" s="521" t="s">
        <v>535</v>
      </c>
      <c r="D3" s="521" t="s">
        <v>536</v>
      </c>
      <c r="E3" s="522" t="s">
        <v>537</v>
      </c>
    </row>
    <row r="4" spans="1:10" s="517" customFormat="1" ht="18" customHeight="1">
      <c r="A4" s="523"/>
      <c r="B4" s="524"/>
      <c r="C4" s="529"/>
      <c r="D4" s="530"/>
      <c r="E4" s="525"/>
      <c r="J4" s="516"/>
    </row>
    <row r="5" spans="1:10" s="517" customFormat="1" ht="18" customHeight="1">
      <c r="A5" s="526"/>
      <c r="B5" s="531"/>
      <c r="C5" s="527"/>
      <c r="D5" s="528"/>
      <c r="E5" s="518"/>
    </row>
    <row r="6" spans="1:10" s="516" customFormat="1" ht="18" customHeight="1">
      <c r="A6" s="532" t="s">
        <v>443</v>
      </c>
      <c r="B6" s="533">
        <f>SUM(B4:B5)</f>
        <v>0</v>
      </c>
      <c r="C6" s="534" t="e">
        <f>IF(A6&lt;&gt;"",B6/$B$6,"")</f>
        <v>#DIV/0!</v>
      </c>
      <c r="D6" s="535"/>
      <c r="E6" s="536" t="e">
        <f>B6/B2*100</f>
        <v>#DIV/0!</v>
      </c>
    </row>
    <row r="7" spans="1:10" s="517" customFormat="1">
      <c r="E7" s="518"/>
    </row>
  </sheetData>
  <pageMargins left="0.70000000000000007" right="0.70000000000000007" top="1.0456692913385826" bottom="1.0456692913385826" header="0.74999999999999989" footer="0.74999999999999989"/>
  <pageSetup paperSize="9" scale="75" fitToWidth="0" fitToHeight="0" pageOrder="overThenDown"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C5330-C89B-46CF-931E-4995965827CB}">
  <sheetPr>
    <tabColor rgb="FFC00000"/>
  </sheetPr>
  <dimension ref="A1:IY43"/>
  <sheetViews>
    <sheetView zoomScale="70" zoomScaleNormal="70" workbookViewId="0">
      <selection activeCell="T56" sqref="T56"/>
    </sheetView>
  </sheetViews>
  <sheetFormatPr defaultRowHeight="3.75" customHeight="1"/>
  <cols>
    <col min="1" max="1" width="3.5703125" style="596" customWidth="1"/>
    <col min="2" max="2" width="18.140625" style="596" customWidth="1"/>
    <col min="3" max="3" width="22.140625" style="596" customWidth="1"/>
    <col min="4" max="4" width="8.5703125" style="596" customWidth="1"/>
    <col min="5" max="6" width="10.5703125" style="596" customWidth="1"/>
    <col min="7" max="7" width="9.5703125" style="596" customWidth="1"/>
    <col min="8" max="8" width="10.42578125" style="596" customWidth="1"/>
    <col min="9" max="9" width="10.28515625" style="596" customWidth="1"/>
    <col min="10" max="10" width="10.85546875" style="596" customWidth="1"/>
    <col min="11" max="11" width="12.140625" style="596" customWidth="1"/>
    <col min="12" max="12" width="10.28515625" style="596" customWidth="1"/>
    <col min="13" max="13" width="13.85546875" style="596" customWidth="1"/>
    <col min="14" max="14" width="12.140625" style="596" customWidth="1"/>
    <col min="15" max="15" width="13.7109375" style="596" customWidth="1"/>
    <col min="16" max="16" width="12.42578125" style="596" customWidth="1"/>
    <col min="17" max="18" width="13.42578125" style="596" customWidth="1"/>
    <col min="19" max="19" width="12.42578125" style="596" customWidth="1"/>
    <col min="20" max="20" width="12.85546875" style="596" customWidth="1"/>
    <col min="21" max="21" width="13.7109375" style="596" customWidth="1"/>
    <col min="22" max="24" width="15.140625" style="596" customWidth="1"/>
    <col min="25" max="25" width="14.28515625" style="596" customWidth="1"/>
    <col min="26" max="36" width="8.5703125" style="596" customWidth="1"/>
    <col min="37" max="37" width="13.42578125" style="596" customWidth="1"/>
    <col min="38" max="259" width="12.140625" style="596" customWidth="1"/>
    <col min="260" max="1026" width="12.28515625" style="621" customWidth="1"/>
    <col min="1027" max="1027" width="10.28515625" style="621" customWidth="1"/>
    <col min="1028" max="16384" width="9.140625" style="621"/>
  </cols>
  <sheetData>
    <row r="1" spans="1:40" ht="5.0999999999999996" customHeight="1">
      <c r="A1" s="591"/>
      <c r="B1" s="591"/>
      <c r="C1" s="592"/>
      <c r="D1" s="593"/>
      <c r="E1" s="593"/>
      <c r="F1" s="593"/>
      <c r="G1" s="594"/>
      <c r="H1" s="593"/>
      <c r="I1" s="593"/>
      <c r="J1" s="593"/>
      <c r="K1" s="593"/>
      <c r="L1" s="593"/>
      <c r="M1" s="593"/>
      <c r="N1" s="593"/>
      <c r="O1" s="593"/>
      <c r="P1" s="593"/>
      <c r="Q1" s="593"/>
      <c r="R1" s="593"/>
      <c r="S1" s="593"/>
      <c r="T1" s="593"/>
      <c r="U1" s="593"/>
      <c r="V1" s="593"/>
      <c r="W1" s="593"/>
      <c r="X1" s="593"/>
      <c r="Y1" s="593"/>
      <c r="Z1" s="593"/>
      <c r="AA1" s="593"/>
      <c r="AB1" s="593"/>
      <c r="AC1" s="593"/>
      <c r="AD1" s="593"/>
      <c r="AE1" s="593"/>
      <c r="AF1" s="593"/>
      <c r="AG1" s="593"/>
      <c r="AH1" s="593"/>
      <c r="AI1" s="593"/>
      <c r="AJ1" s="593"/>
      <c r="AK1" s="594"/>
      <c r="AL1" s="592"/>
      <c r="AM1" s="592"/>
      <c r="AN1" s="595"/>
    </row>
    <row r="2" spans="1:40" ht="14.25">
      <c r="A2" s="597"/>
      <c r="B2" s="1147" t="s">
        <v>538</v>
      </c>
      <c r="C2" s="1146"/>
      <c r="D2" s="598"/>
      <c r="E2" s="598"/>
      <c r="F2" s="598"/>
      <c r="G2" s="599"/>
      <c r="H2" s="598"/>
      <c r="I2" s="1064" t="s">
        <v>514</v>
      </c>
      <c r="J2" s="1064"/>
      <c r="K2" s="1064"/>
      <c r="L2" s="1064"/>
      <c r="M2" s="1064"/>
      <c r="N2" s="1064"/>
      <c r="O2" s="1064"/>
      <c r="P2" s="1064"/>
      <c r="Q2" s="1064"/>
      <c r="R2" s="1064"/>
      <c r="S2" s="1064"/>
      <c r="T2" s="1064"/>
      <c r="U2" s="1064"/>
      <c r="V2" s="1064"/>
      <c r="W2" s="1064"/>
      <c r="X2" s="1064"/>
      <c r="Y2" s="1064"/>
      <c r="Z2" s="1064"/>
      <c r="AA2" s="1064"/>
      <c r="AB2" s="1064"/>
      <c r="AC2" s="1064"/>
      <c r="AD2" s="1064"/>
      <c r="AE2" s="1064"/>
      <c r="AF2" s="1064"/>
      <c r="AG2" s="1064"/>
      <c r="AH2" s="1064"/>
      <c r="AI2" s="1064"/>
      <c r="AJ2" s="1064"/>
      <c r="AK2" s="599"/>
      <c r="AN2" s="600"/>
    </row>
    <row r="3" spans="1:40" ht="14.25">
      <c r="A3" s="597"/>
      <c r="B3" s="1147" t="s">
        <v>539</v>
      </c>
      <c r="C3" s="1146"/>
      <c r="D3" s="598"/>
      <c r="E3" s="598"/>
      <c r="F3" s="598"/>
      <c r="G3" s="599"/>
      <c r="H3" s="598"/>
      <c r="I3" s="1064"/>
      <c r="J3" s="1064"/>
      <c r="K3" s="1064"/>
      <c r="L3" s="1064"/>
      <c r="M3" s="1064"/>
      <c r="N3" s="1064"/>
      <c r="O3" s="1064"/>
      <c r="P3" s="1064"/>
      <c r="Q3" s="1064"/>
      <c r="R3" s="1064"/>
      <c r="S3" s="1064"/>
      <c r="T3" s="1064"/>
      <c r="U3" s="1064"/>
      <c r="V3" s="1064"/>
      <c r="W3" s="1064"/>
      <c r="X3" s="1064"/>
      <c r="Y3" s="1064"/>
      <c r="Z3" s="1064"/>
      <c r="AA3" s="1064"/>
      <c r="AB3" s="1064"/>
      <c r="AC3" s="1064"/>
      <c r="AD3" s="1064"/>
      <c r="AE3" s="1064"/>
      <c r="AF3" s="1064"/>
      <c r="AG3" s="1064"/>
      <c r="AH3" s="1064"/>
      <c r="AI3" s="1064"/>
      <c r="AJ3" s="1064"/>
      <c r="AK3" s="599"/>
      <c r="AN3" s="600"/>
    </row>
    <row r="4" spans="1:40" ht="14.25">
      <c r="A4" s="597"/>
      <c r="B4" s="1147" t="s">
        <v>540</v>
      </c>
      <c r="C4" s="1146"/>
      <c r="D4" s="598"/>
      <c r="E4" s="598"/>
      <c r="F4" s="598"/>
      <c r="G4" s="599"/>
      <c r="H4" s="598"/>
      <c r="I4" s="1064"/>
      <c r="J4" s="1064"/>
      <c r="K4" s="1064"/>
      <c r="L4" s="1064"/>
      <c r="M4" s="1064"/>
      <c r="N4" s="1064"/>
      <c r="O4" s="1064"/>
      <c r="P4" s="1064"/>
      <c r="Q4" s="1064"/>
      <c r="R4" s="1064"/>
      <c r="S4" s="1064"/>
      <c r="T4" s="1064"/>
      <c r="U4" s="1064"/>
      <c r="V4" s="1064"/>
      <c r="W4" s="1064"/>
      <c r="X4" s="1064"/>
      <c r="Y4" s="1064"/>
      <c r="Z4" s="1064"/>
      <c r="AA4" s="1064"/>
      <c r="AB4" s="1064"/>
      <c r="AC4" s="1064"/>
      <c r="AD4" s="1064"/>
      <c r="AE4" s="1064"/>
      <c r="AF4" s="1064"/>
      <c r="AG4" s="1064"/>
      <c r="AH4" s="1064"/>
      <c r="AI4" s="1064"/>
      <c r="AJ4" s="1064"/>
      <c r="AK4" s="599"/>
      <c r="AN4" s="600"/>
    </row>
    <row r="5" spans="1:40" ht="14.25">
      <c r="A5" s="597"/>
      <c r="B5" s="597"/>
      <c r="C5" s="598"/>
      <c r="D5" s="598"/>
      <c r="E5" s="598"/>
      <c r="F5" s="598"/>
      <c r="G5" s="599"/>
      <c r="H5" s="598"/>
      <c r="I5" s="1064"/>
      <c r="J5" s="1064"/>
      <c r="K5" s="1064"/>
      <c r="L5" s="1064"/>
      <c r="M5" s="1064"/>
      <c r="N5" s="1064"/>
      <c r="O5" s="1064"/>
      <c r="P5" s="1064"/>
      <c r="Q5" s="1064"/>
      <c r="R5" s="1064"/>
      <c r="S5" s="1064"/>
      <c r="T5" s="1064"/>
      <c r="U5" s="1064"/>
      <c r="V5" s="1064"/>
      <c r="W5" s="1064"/>
      <c r="X5" s="1064"/>
      <c r="Y5" s="1064"/>
      <c r="Z5" s="1064"/>
      <c r="AA5" s="1064"/>
      <c r="AB5" s="1064"/>
      <c r="AC5" s="1064"/>
      <c r="AD5" s="1064"/>
      <c r="AE5" s="1064"/>
      <c r="AF5" s="1064"/>
      <c r="AG5" s="1064"/>
      <c r="AH5" s="1064"/>
      <c r="AI5" s="1064"/>
      <c r="AJ5" s="1064"/>
      <c r="AK5" s="599"/>
      <c r="AN5" s="600"/>
    </row>
    <row r="6" spans="1:40" ht="5.0999999999999996" customHeight="1">
      <c r="A6" s="601"/>
      <c r="B6" s="601"/>
      <c r="C6" s="602"/>
      <c r="D6" s="602"/>
      <c r="E6" s="602"/>
      <c r="F6" s="602"/>
      <c r="G6" s="603"/>
      <c r="H6" s="602"/>
      <c r="I6" s="602"/>
      <c r="J6" s="602"/>
      <c r="K6" s="602"/>
      <c r="L6" s="602"/>
      <c r="M6" s="602"/>
      <c r="N6" s="602"/>
      <c r="O6" s="602"/>
      <c r="P6" s="602"/>
      <c r="Q6" s="602"/>
      <c r="R6" s="602"/>
      <c r="S6" s="602"/>
      <c r="T6" s="602"/>
      <c r="U6" s="602"/>
      <c r="V6" s="602"/>
      <c r="W6" s="602"/>
      <c r="X6" s="602"/>
      <c r="Y6" s="602"/>
      <c r="Z6" s="602"/>
      <c r="AA6" s="602"/>
      <c r="AB6" s="602"/>
      <c r="AC6" s="602"/>
      <c r="AD6" s="602"/>
      <c r="AE6" s="602"/>
      <c r="AF6" s="602"/>
      <c r="AG6" s="602"/>
      <c r="AH6" s="602"/>
      <c r="AI6" s="602"/>
      <c r="AJ6" s="602"/>
      <c r="AK6" s="603"/>
      <c r="AL6" s="602"/>
      <c r="AM6" s="602"/>
      <c r="AN6" s="603"/>
    </row>
    <row r="7" spans="1:40" ht="20.100000000000001" customHeight="1">
      <c r="A7" s="1065" t="s">
        <v>515</v>
      </c>
      <c r="B7" s="1065"/>
      <c r="C7" s="1065"/>
      <c r="D7" s="592"/>
      <c r="E7" s="604"/>
      <c r="F7" s="604"/>
      <c r="G7" s="604" t="s">
        <v>516</v>
      </c>
      <c r="H7" s="1066"/>
      <c r="I7" s="1066"/>
      <c r="J7" s="1066"/>
      <c r="K7" s="1066"/>
      <c r="L7" s="1066"/>
      <c r="M7" s="1066"/>
      <c r="N7" s="604"/>
      <c r="O7" s="604"/>
      <c r="P7" s="604" t="s">
        <v>517</v>
      </c>
      <c r="Q7" s="1066"/>
      <c r="R7" s="1066"/>
      <c r="S7" s="1066"/>
      <c r="T7" s="1066"/>
      <c r="U7" s="1066"/>
      <c r="V7" s="1066"/>
      <c r="W7" s="1066"/>
      <c r="X7" s="1066"/>
      <c r="Y7" s="1066"/>
      <c r="Z7" s="1066"/>
      <c r="AA7" s="604"/>
      <c r="AB7" s="592"/>
      <c r="AC7" s="604" t="s">
        <v>518</v>
      </c>
      <c r="AD7" s="1066"/>
      <c r="AE7" s="1066"/>
      <c r="AF7" s="1066"/>
      <c r="AG7" s="1066"/>
      <c r="AH7" s="1066"/>
      <c r="AI7" s="1066"/>
      <c r="AJ7" s="592"/>
      <c r="AK7" s="592"/>
      <c r="AL7" s="592"/>
      <c r="AM7" s="592"/>
      <c r="AN7" s="595"/>
    </row>
    <row r="8" spans="1:40" ht="20.100000000000001" customHeight="1">
      <c r="A8" s="1065"/>
      <c r="B8" s="1065"/>
      <c r="C8" s="1065"/>
      <c r="D8" s="605"/>
      <c r="E8" s="602"/>
      <c r="F8" s="602"/>
      <c r="G8" s="605" t="s">
        <v>519</v>
      </c>
      <c r="H8" s="1067"/>
      <c r="I8" s="1067"/>
      <c r="J8" s="1067"/>
      <c r="K8" s="1067"/>
      <c r="L8" s="1067"/>
      <c r="M8" s="1067"/>
      <c r="N8" s="605"/>
      <c r="O8" s="605"/>
      <c r="P8" s="605" t="s">
        <v>520</v>
      </c>
      <c r="Q8" s="1068"/>
      <c r="R8" s="1068"/>
      <c r="S8" s="1068"/>
      <c r="T8" s="1068"/>
      <c r="U8" s="1068"/>
      <c r="V8" s="1068"/>
      <c r="W8" s="1068"/>
      <c r="X8" s="1068"/>
      <c r="Y8" s="1068"/>
      <c r="Z8" s="1068"/>
      <c r="AA8" s="605"/>
      <c r="AB8" s="602"/>
      <c r="AC8" s="605" t="s">
        <v>521</v>
      </c>
      <c r="AD8" s="1069"/>
      <c r="AE8" s="1069"/>
      <c r="AF8" s="1069"/>
      <c r="AG8" s="1069"/>
      <c r="AH8" s="1069"/>
      <c r="AI8" s="1069"/>
      <c r="AJ8" s="602"/>
      <c r="AK8" s="605" t="s">
        <v>522</v>
      </c>
      <c r="AL8" s="1059"/>
      <c r="AM8" s="1059"/>
      <c r="AN8" s="1059"/>
    </row>
    <row r="9" spans="1:40" ht="32.25" customHeight="1">
      <c r="A9" s="1060"/>
      <c r="B9" s="1060"/>
      <c r="C9" s="1060"/>
      <c r="D9" s="606"/>
      <c r="E9" s="606"/>
      <c r="F9" s="606"/>
      <c r="G9" s="606"/>
      <c r="H9" s="606"/>
      <c r="I9" s="606"/>
      <c r="J9" s="607"/>
      <c r="K9" s="607"/>
      <c r="L9" s="608"/>
      <c r="M9" s="609"/>
      <c r="N9" s="609"/>
      <c r="O9" s="609"/>
      <c r="P9" s="609"/>
      <c r="Q9" s="609"/>
      <c r="R9" s="609"/>
      <c r="S9" s="609"/>
      <c r="T9" s="609"/>
      <c r="U9" s="609"/>
      <c r="V9" s="609"/>
      <c r="W9" s="609"/>
      <c r="X9" s="609"/>
      <c r="Y9" s="609"/>
      <c r="Z9" s="608"/>
      <c r="AA9" s="608"/>
      <c r="AB9" s="608"/>
      <c r="AC9" s="608"/>
      <c r="AD9" s="608"/>
      <c r="AE9" s="608"/>
      <c r="AF9" s="608"/>
      <c r="AG9" s="608"/>
      <c r="AH9" s="608"/>
      <c r="AI9" s="608"/>
      <c r="AJ9" s="608"/>
      <c r="AK9" s="610" t="s">
        <v>523</v>
      </c>
      <c r="AN9" s="600"/>
    </row>
    <row r="10" spans="1:40" ht="24.75" customHeight="1">
      <c r="A10" s="1148"/>
      <c r="B10" s="1148"/>
      <c r="C10" s="1149"/>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1"/>
      <c r="AK10" s="611">
        <f>SUM(D10:AJ10)</f>
        <v>0</v>
      </c>
      <c r="AL10" s="612" t="e">
        <f>AK10/$AK$13</f>
        <v>#DIV/0!</v>
      </c>
      <c r="AN10" s="600"/>
    </row>
    <row r="11" spans="1:40" ht="24.75" customHeight="1">
      <c r="A11" s="1148"/>
      <c r="B11" s="1148"/>
      <c r="C11" s="1152"/>
      <c r="D11" s="1151"/>
      <c r="E11" s="1151"/>
      <c r="F11" s="1151"/>
      <c r="G11" s="1151"/>
      <c r="H11" s="1151"/>
      <c r="I11" s="1151"/>
      <c r="J11" s="1151"/>
      <c r="K11" s="1151"/>
      <c r="L11" s="1151"/>
      <c r="M11" s="1151"/>
      <c r="N11" s="1151"/>
      <c r="O11" s="1151"/>
      <c r="P11" s="1151"/>
      <c r="Q11" s="1151"/>
      <c r="R11" s="1151"/>
      <c r="S11" s="1151"/>
      <c r="T11" s="1151"/>
      <c r="U11" s="1151"/>
      <c r="V11" s="1151"/>
      <c r="W11" s="1151"/>
      <c r="X11" s="1151"/>
      <c r="Y11" s="1151"/>
      <c r="Z11" s="1151"/>
      <c r="AA11" s="1151"/>
      <c r="AB11" s="1151"/>
      <c r="AC11" s="1151"/>
      <c r="AD11" s="1151"/>
      <c r="AE11" s="1151"/>
      <c r="AF11" s="1151"/>
      <c r="AG11" s="1151"/>
      <c r="AH11" s="1151"/>
      <c r="AI11" s="1151"/>
      <c r="AJ11" s="1151"/>
      <c r="AK11" s="611">
        <f>SUM(D11:AJ11)</f>
        <v>0</v>
      </c>
      <c r="AL11" s="612"/>
      <c r="AN11" s="600"/>
    </row>
    <row r="12" spans="1:40" ht="24.75" customHeight="1">
      <c r="A12" s="1148"/>
      <c r="B12" s="1148"/>
      <c r="C12" s="1152"/>
      <c r="D12" s="1151"/>
      <c r="E12" s="1151"/>
      <c r="F12" s="1151"/>
      <c r="G12" s="1151"/>
      <c r="H12" s="1151"/>
      <c r="I12" s="1151"/>
      <c r="J12" s="1151"/>
      <c r="K12" s="1151"/>
      <c r="L12" s="1151"/>
      <c r="M12" s="1151"/>
      <c r="N12" s="1151"/>
      <c r="O12" s="1151"/>
      <c r="P12" s="1151"/>
      <c r="Q12" s="1151"/>
      <c r="R12" s="1151"/>
      <c r="S12" s="1151"/>
      <c r="T12" s="1151"/>
      <c r="U12" s="1151"/>
      <c r="V12" s="1151"/>
      <c r="W12" s="1151"/>
      <c r="X12" s="1151"/>
      <c r="Y12" s="1151"/>
      <c r="Z12" s="1151"/>
      <c r="AA12" s="1151"/>
      <c r="AB12" s="1151"/>
      <c r="AC12" s="1151"/>
      <c r="AD12" s="1151"/>
      <c r="AE12" s="1151"/>
      <c r="AF12" s="1151"/>
      <c r="AG12" s="1151"/>
      <c r="AH12" s="1151"/>
      <c r="AI12" s="1151"/>
      <c r="AJ12" s="1151"/>
      <c r="AK12" s="611">
        <f>SUM(D12:AJ12)</f>
        <v>0</v>
      </c>
      <c r="AL12" s="612" t="e">
        <f>AK12/$AK$13</f>
        <v>#DIV/0!</v>
      </c>
      <c r="AN12" s="600"/>
    </row>
    <row r="13" spans="1:40" ht="22.5" customHeight="1">
      <c r="A13" s="1061" t="s">
        <v>524</v>
      </c>
      <c r="B13" s="1061"/>
      <c r="C13" s="1061"/>
      <c r="D13" s="613">
        <f>SUM(D10:D12)</f>
        <v>0</v>
      </c>
      <c r="E13" s="613">
        <f t="shared" ref="E13:F13" si="0">SUM(E10:E12)</f>
        <v>0</v>
      </c>
      <c r="F13" s="613">
        <f t="shared" si="0"/>
        <v>0</v>
      </c>
      <c r="G13" s="613">
        <f>SUM(G10:G12)</f>
        <v>0</v>
      </c>
      <c r="H13" s="613">
        <f>SUM(H10:H12)</f>
        <v>0</v>
      </c>
      <c r="I13" s="613">
        <f>SUM(I10:I12)</f>
        <v>0</v>
      </c>
      <c r="J13" s="613">
        <f>SUM(J10:J12)</f>
        <v>0</v>
      </c>
      <c r="K13" s="613">
        <f>SUM(K10:K12)</f>
        <v>0</v>
      </c>
      <c r="L13" s="613">
        <f>SUM(L10:L12)</f>
        <v>0</v>
      </c>
      <c r="M13" s="613">
        <f>SUM(M10:M12)</f>
        <v>0</v>
      </c>
      <c r="N13" s="613">
        <f>SUM(N10:N12)</f>
        <v>0</v>
      </c>
      <c r="O13" s="613">
        <f>SUM(O10:O12)</f>
        <v>0</v>
      </c>
      <c r="P13" s="613">
        <f>SUM(P10:P12)</f>
        <v>0</v>
      </c>
      <c r="Q13" s="613">
        <f>SUM(Q10:Q12)</f>
        <v>0</v>
      </c>
      <c r="R13" s="613">
        <f>SUM(R10:R12)</f>
        <v>0</v>
      </c>
      <c r="S13" s="613">
        <f>SUM(S10:S12)</f>
        <v>0</v>
      </c>
      <c r="T13" s="613">
        <f>SUM(T10:T12)</f>
        <v>0</v>
      </c>
      <c r="U13" s="613">
        <f>SUM(U10:U12)</f>
        <v>0</v>
      </c>
      <c r="V13" s="613">
        <f>SUM(V10:V12)</f>
        <v>0</v>
      </c>
      <c r="W13" s="613">
        <f>SUM(W10:W12)</f>
        <v>0</v>
      </c>
      <c r="X13" s="613">
        <f>SUM(X10:X12)</f>
        <v>0</v>
      </c>
      <c r="Y13" s="613">
        <f>SUM(Y10:Y12)</f>
        <v>0</v>
      </c>
      <c r="Z13" s="613">
        <f>SUM(Z10:Z12)</f>
        <v>0</v>
      </c>
      <c r="AA13" s="613">
        <f>SUM(AA10:AA12)</f>
        <v>0</v>
      </c>
      <c r="AB13" s="613">
        <f>SUM(AB10:AB12)</f>
        <v>0</v>
      </c>
      <c r="AC13" s="613">
        <f>SUM(AC10:AC12)</f>
        <v>0</v>
      </c>
      <c r="AD13" s="613">
        <f>SUM(AD10:AD12)</f>
        <v>0</v>
      </c>
      <c r="AE13" s="613">
        <f>SUM(AE10:AE12)</f>
        <v>0</v>
      </c>
      <c r="AF13" s="613">
        <f>SUM(AF10:AF12)</f>
        <v>0</v>
      </c>
      <c r="AG13" s="613">
        <f>SUM(AG10:AG12)</f>
        <v>0</v>
      </c>
      <c r="AH13" s="613">
        <f>SUM(AH10:AH12)</f>
        <v>0</v>
      </c>
      <c r="AI13" s="613">
        <f>SUM(AI10:AI12)</f>
        <v>0</v>
      </c>
      <c r="AJ13" s="613">
        <f>SUM(AJ10:AJ12)</f>
        <v>0</v>
      </c>
      <c r="AK13" s="611">
        <f>SUM(D13:AJ13)</f>
        <v>0</v>
      </c>
      <c r="AN13" s="600"/>
    </row>
    <row r="14" spans="1:40" ht="22.5" customHeight="1">
      <c r="A14" s="1061" t="s">
        <v>525</v>
      </c>
      <c r="B14" s="1061"/>
      <c r="C14" s="1061"/>
      <c r="D14" s="1151"/>
      <c r="E14" s="1151"/>
      <c r="F14" s="1151"/>
      <c r="G14" s="1151"/>
      <c r="H14" s="1151"/>
      <c r="I14" s="1151"/>
      <c r="J14" s="1151"/>
      <c r="K14" s="1151"/>
      <c r="L14" s="1151"/>
      <c r="M14" s="1151"/>
      <c r="N14" s="1151"/>
      <c r="O14" s="1151"/>
      <c r="P14" s="1151"/>
      <c r="Q14" s="1151"/>
      <c r="R14" s="1151"/>
      <c r="S14" s="1151"/>
      <c r="T14" s="1151"/>
      <c r="U14" s="1151"/>
      <c r="V14" s="1151"/>
      <c r="W14" s="1151"/>
      <c r="X14" s="1151"/>
      <c r="Y14" s="1151"/>
      <c r="Z14" s="1151"/>
      <c r="AA14" s="1151"/>
      <c r="AB14" s="1151"/>
      <c r="AC14" s="1151"/>
      <c r="AD14" s="1151"/>
      <c r="AE14" s="1151"/>
      <c r="AF14" s="1151"/>
      <c r="AG14" s="1151"/>
      <c r="AH14" s="1151"/>
      <c r="AI14" s="1151"/>
      <c r="AJ14" s="1151"/>
      <c r="AK14" s="611">
        <f>SUM(D14:AJ14)</f>
        <v>0</v>
      </c>
      <c r="AN14" s="600"/>
    </row>
    <row r="15" spans="1:40" s="617" customFormat="1" ht="22.5" customHeight="1">
      <c r="A15" s="1062" t="s">
        <v>526</v>
      </c>
      <c r="B15" s="1062"/>
      <c r="C15" s="1062"/>
      <c r="D15" s="614" t="e">
        <f t="shared" ref="D15:X15" si="1">D13/D14*1000000</f>
        <v>#DIV/0!</v>
      </c>
      <c r="E15" s="614" t="e">
        <f t="shared" ref="E15:F15" si="2">E13/E14*1000000</f>
        <v>#DIV/0!</v>
      </c>
      <c r="F15" s="614" t="e">
        <f t="shared" si="2"/>
        <v>#DIV/0!</v>
      </c>
      <c r="G15" s="614" t="e">
        <f t="shared" si="1"/>
        <v>#DIV/0!</v>
      </c>
      <c r="H15" s="614" t="e">
        <f t="shared" si="1"/>
        <v>#DIV/0!</v>
      </c>
      <c r="I15" s="614" t="e">
        <f t="shared" si="1"/>
        <v>#DIV/0!</v>
      </c>
      <c r="J15" s="614" t="e">
        <f t="shared" si="1"/>
        <v>#DIV/0!</v>
      </c>
      <c r="K15" s="614" t="e">
        <f t="shared" si="1"/>
        <v>#DIV/0!</v>
      </c>
      <c r="L15" s="614" t="e">
        <f t="shared" si="1"/>
        <v>#DIV/0!</v>
      </c>
      <c r="M15" s="614" t="e">
        <f t="shared" si="1"/>
        <v>#DIV/0!</v>
      </c>
      <c r="N15" s="614" t="e">
        <f t="shared" si="1"/>
        <v>#DIV/0!</v>
      </c>
      <c r="O15" s="614" t="e">
        <f t="shared" si="1"/>
        <v>#DIV/0!</v>
      </c>
      <c r="P15" s="614" t="e">
        <f t="shared" si="1"/>
        <v>#DIV/0!</v>
      </c>
      <c r="Q15" s="614" t="e">
        <f t="shared" si="1"/>
        <v>#DIV/0!</v>
      </c>
      <c r="R15" s="614" t="e">
        <f t="shared" si="1"/>
        <v>#DIV/0!</v>
      </c>
      <c r="S15" s="614" t="e">
        <f t="shared" si="1"/>
        <v>#DIV/0!</v>
      </c>
      <c r="T15" s="614" t="e">
        <f t="shared" si="1"/>
        <v>#DIV/0!</v>
      </c>
      <c r="U15" s="614" t="e">
        <f t="shared" si="1"/>
        <v>#DIV/0!</v>
      </c>
      <c r="V15" s="614" t="e">
        <f t="shared" si="1"/>
        <v>#DIV/0!</v>
      </c>
      <c r="W15" s="614"/>
      <c r="X15" s="614" t="e">
        <f t="shared" si="1"/>
        <v>#DIV/0!</v>
      </c>
      <c r="Y15" s="614"/>
      <c r="Z15" s="614"/>
      <c r="AA15" s="614"/>
      <c r="AB15" s="614"/>
      <c r="AC15" s="614"/>
      <c r="AD15" s="614"/>
      <c r="AE15" s="614"/>
      <c r="AF15" s="614"/>
      <c r="AG15" s="614"/>
      <c r="AH15" s="614"/>
      <c r="AI15" s="614"/>
      <c r="AJ15" s="614"/>
      <c r="AK15" s="614" t="e">
        <f>AK13/AK14*1000000</f>
        <v>#DIV/0!</v>
      </c>
      <c r="AL15" s="615"/>
      <c r="AM15" s="615"/>
      <c r="AN15" s="616"/>
    </row>
    <row r="16" spans="1:40" ht="14.25">
      <c r="A16" s="1063"/>
      <c r="B16" s="1063"/>
      <c r="C16" s="1063"/>
      <c r="D16" s="618">
        <f>$A$18</f>
        <v>5000</v>
      </c>
      <c r="E16" s="618">
        <f>$A$18</f>
        <v>5000</v>
      </c>
      <c r="F16" s="618"/>
      <c r="G16" s="618">
        <f t="shared" ref="G16:AJ16" si="3">$A$18</f>
        <v>5000</v>
      </c>
      <c r="H16" s="618">
        <f t="shared" si="3"/>
        <v>5000</v>
      </c>
      <c r="I16" s="618">
        <f t="shared" si="3"/>
        <v>5000</v>
      </c>
      <c r="J16" s="618">
        <f t="shared" si="3"/>
        <v>5000</v>
      </c>
      <c r="K16" s="618">
        <f t="shared" si="3"/>
        <v>5000</v>
      </c>
      <c r="L16" s="618">
        <f t="shared" si="3"/>
        <v>5000</v>
      </c>
      <c r="M16" s="618">
        <f t="shared" si="3"/>
        <v>5000</v>
      </c>
      <c r="N16" s="618">
        <f t="shared" si="3"/>
        <v>5000</v>
      </c>
      <c r="O16" s="618">
        <f t="shared" si="3"/>
        <v>5000</v>
      </c>
      <c r="P16" s="618">
        <f t="shared" si="3"/>
        <v>5000</v>
      </c>
      <c r="Q16" s="618">
        <f t="shared" si="3"/>
        <v>5000</v>
      </c>
      <c r="R16" s="618">
        <f t="shared" si="3"/>
        <v>5000</v>
      </c>
      <c r="S16" s="618">
        <f t="shared" si="3"/>
        <v>5000</v>
      </c>
      <c r="T16" s="618">
        <f t="shared" si="3"/>
        <v>5000</v>
      </c>
      <c r="U16" s="618">
        <f t="shared" si="3"/>
        <v>5000</v>
      </c>
      <c r="V16" s="618">
        <f t="shared" si="3"/>
        <v>5000</v>
      </c>
      <c r="W16" s="618"/>
      <c r="X16" s="618">
        <f t="shared" si="3"/>
        <v>5000</v>
      </c>
      <c r="Y16" s="618">
        <f t="shared" si="3"/>
        <v>5000</v>
      </c>
      <c r="Z16" s="618">
        <f t="shared" si="3"/>
        <v>5000</v>
      </c>
      <c r="AA16" s="618">
        <f t="shared" si="3"/>
        <v>5000</v>
      </c>
      <c r="AB16" s="618">
        <f t="shared" si="3"/>
        <v>5000</v>
      </c>
      <c r="AC16" s="618">
        <f t="shared" si="3"/>
        <v>5000</v>
      </c>
      <c r="AD16" s="618">
        <f t="shared" si="3"/>
        <v>5000</v>
      </c>
      <c r="AE16" s="618">
        <f t="shared" si="3"/>
        <v>5000</v>
      </c>
      <c r="AF16" s="618">
        <f t="shared" si="3"/>
        <v>5000</v>
      </c>
      <c r="AG16" s="618">
        <f t="shared" si="3"/>
        <v>5000</v>
      </c>
      <c r="AH16" s="618">
        <f t="shared" si="3"/>
        <v>5000</v>
      </c>
      <c r="AI16" s="618">
        <f t="shared" si="3"/>
        <v>5000</v>
      </c>
      <c r="AJ16" s="618">
        <f t="shared" si="3"/>
        <v>5000</v>
      </c>
      <c r="AK16" s="593"/>
      <c r="AL16" s="592"/>
      <c r="AM16" s="592"/>
      <c r="AN16" s="595"/>
    </row>
    <row r="17" spans="1:40" ht="14.25">
      <c r="A17" s="1057" t="s">
        <v>527</v>
      </c>
      <c r="B17" s="1057"/>
      <c r="C17" s="1057"/>
      <c r="D17" s="598"/>
      <c r="E17" s="598"/>
      <c r="F17" s="598"/>
      <c r="G17" s="598"/>
      <c r="H17" s="598"/>
      <c r="I17" s="598"/>
      <c r="J17" s="598"/>
      <c r="K17" s="598"/>
      <c r="L17" s="598"/>
      <c r="M17" s="598"/>
      <c r="N17" s="598"/>
      <c r="O17" s="598"/>
      <c r="P17" s="598"/>
      <c r="Q17" s="598"/>
      <c r="R17" s="598"/>
      <c r="S17" s="598"/>
      <c r="T17" s="598"/>
      <c r="U17" s="598"/>
      <c r="V17" s="598"/>
      <c r="W17" s="598"/>
      <c r="X17" s="598"/>
      <c r="Y17" s="598"/>
      <c r="Z17" s="598"/>
      <c r="AA17" s="598"/>
      <c r="AB17" s="598"/>
      <c r="AC17" s="598"/>
      <c r="AD17" s="598"/>
      <c r="AE17" s="598"/>
      <c r="AF17" s="598"/>
      <c r="AG17" s="598"/>
      <c r="AH17" s="598"/>
      <c r="AI17" s="598"/>
      <c r="AJ17" s="598"/>
      <c r="AK17" s="598"/>
      <c r="AN17" s="600"/>
    </row>
    <row r="18" spans="1:40" ht="14.25">
      <c r="A18" s="1153">
        <v>5000</v>
      </c>
      <c r="B18" s="1153"/>
      <c r="C18" s="1153"/>
      <c r="D18" s="598"/>
      <c r="E18" s="598"/>
      <c r="F18" s="598"/>
      <c r="G18" s="598"/>
      <c r="H18" s="598"/>
      <c r="I18" s="598"/>
      <c r="J18" s="598"/>
      <c r="K18" s="598"/>
      <c r="L18" s="598"/>
      <c r="M18" s="598"/>
      <c r="N18" s="598"/>
      <c r="O18" s="598"/>
      <c r="P18" s="598"/>
      <c r="Q18" s="598"/>
      <c r="R18" s="598"/>
      <c r="S18" s="598"/>
      <c r="T18" s="598"/>
      <c r="U18" s="598"/>
      <c r="V18" s="598"/>
      <c r="W18" s="598"/>
      <c r="X18" s="598"/>
      <c r="Y18" s="598"/>
      <c r="Z18" s="598"/>
      <c r="AA18" s="598"/>
      <c r="AB18" s="598"/>
      <c r="AC18" s="598"/>
      <c r="AD18" s="598"/>
      <c r="AE18" s="598"/>
      <c r="AF18" s="598"/>
      <c r="AG18" s="598"/>
      <c r="AH18" s="598"/>
      <c r="AI18" s="598"/>
      <c r="AJ18" s="598"/>
      <c r="AK18" s="598"/>
      <c r="AN18" s="600"/>
    </row>
    <row r="19" spans="1:40" ht="14.25">
      <c r="A19" s="1058"/>
      <c r="B19" s="1058"/>
      <c r="C19" s="1058"/>
      <c r="D19" s="598"/>
      <c r="E19" s="598"/>
      <c r="F19" s="598"/>
      <c r="G19" s="598"/>
      <c r="H19" s="598"/>
      <c r="I19" s="598"/>
      <c r="J19" s="598"/>
      <c r="K19" s="598"/>
      <c r="L19" s="598"/>
      <c r="M19" s="598"/>
      <c r="N19" s="598"/>
      <c r="O19" s="598"/>
      <c r="P19" s="598"/>
      <c r="Q19" s="598"/>
      <c r="R19" s="598"/>
      <c r="S19" s="598"/>
      <c r="T19" s="598"/>
      <c r="U19" s="598"/>
      <c r="V19" s="598"/>
      <c r="W19" s="598"/>
      <c r="X19" s="598"/>
      <c r="Y19" s="598"/>
      <c r="Z19" s="598"/>
      <c r="AA19" s="598"/>
      <c r="AB19" s="598"/>
      <c r="AC19" s="598"/>
      <c r="AD19" s="598"/>
      <c r="AE19" s="598"/>
      <c r="AF19" s="598"/>
      <c r="AG19" s="598"/>
      <c r="AH19" s="598"/>
      <c r="AI19" s="598"/>
      <c r="AJ19" s="598"/>
      <c r="AK19" s="598"/>
      <c r="AN19" s="600"/>
    </row>
    <row r="20" spans="1:40" ht="14.25">
      <c r="A20" s="1056"/>
      <c r="B20" s="1056"/>
      <c r="C20" s="1056"/>
      <c r="D20" s="598"/>
      <c r="E20" s="598"/>
      <c r="F20" s="598"/>
      <c r="G20" s="598"/>
      <c r="H20" s="598"/>
      <c r="I20" s="598"/>
      <c r="J20" s="598"/>
      <c r="K20" s="598"/>
      <c r="L20" s="598"/>
      <c r="M20" s="598"/>
      <c r="N20" s="598"/>
      <c r="O20" s="598"/>
      <c r="P20" s="598"/>
      <c r="Q20" s="598"/>
      <c r="R20" s="598"/>
      <c r="S20" s="598"/>
      <c r="T20" s="598"/>
      <c r="U20" s="598"/>
      <c r="V20" s="598"/>
      <c r="W20" s="598"/>
      <c r="X20" s="598"/>
      <c r="Y20" s="598"/>
      <c r="Z20" s="598"/>
      <c r="AA20" s="598"/>
      <c r="AB20" s="598"/>
      <c r="AC20" s="598"/>
      <c r="AD20" s="598"/>
      <c r="AE20" s="598"/>
      <c r="AF20" s="598"/>
      <c r="AG20" s="598"/>
      <c r="AH20" s="598"/>
      <c r="AI20" s="598"/>
      <c r="AJ20" s="598"/>
      <c r="AK20" s="598"/>
      <c r="AN20" s="600"/>
    </row>
    <row r="21" spans="1:40" ht="14.25">
      <c r="A21" s="1056"/>
      <c r="B21" s="1056"/>
      <c r="C21" s="1056"/>
      <c r="D21" s="598"/>
      <c r="E21" s="598"/>
      <c r="F21" s="598"/>
      <c r="G21" s="598"/>
      <c r="H21" s="598"/>
      <c r="I21" s="598"/>
      <c r="J21" s="598"/>
      <c r="K21" s="598"/>
      <c r="L21" s="598"/>
      <c r="M21" s="598"/>
      <c r="N21" s="598"/>
      <c r="O21" s="598"/>
      <c r="P21" s="598"/>
      <c r="Q21" s="598"/>
      <c r="R21" s="598"/>
      <c r="S21" s="598"/>
      <c r="T21" s="598"/>
      <c r="U21" s="598"/>
      <c r="V21" s="598"/>
      <c r="W21" s="598"/>
      <c r="X21" s="598"/>
      <c r="Y21" s="598"/>
      <c r="Z21" s="598"/>
      <c r="AA21" s="598"/>
      <c r="AB21" s="598"/>
      <c r="AC21" s="598"/>
      <c r="AD21" s="598"/>
      <c r="AE21" s="598"/>
      <c r="AF21" s="598"/>
      <c r="AG21" s="598"/>
      <c r="AH21" s="598"/>
      <c r="AI21" s="598"/>
      <c r="AJ21" s="598"/>
      <c r="AK21" s="598"/>
      <c r="AN21" s="600"/>
    </row>
    <row r="22" spans="1:40" ht="14.25">
      <c r="A22" s="1056"/>
      <c r="B22" s="1056"/>
      <c r="C22" s="1056"/>
      <c r="D22" s="598"/>
      <c r="E22" s="598"/>
      <c r="F22" s="598"/>
      <c r="G22" s="598"/>
      <c r="H22" s="598"/>
      <c r="I22" s="598"/>
      <c r="J22" s="598"/>
      <c r="K22" s="598"/>
      <c r="L22" s="598"/>
      <c r="M22" s="598"/>
      <c r="N22" s="598"/>
      <c r="O22" s="598"/>
      <c r="P22" s="598"/>
      <c r="Q22" s="598"/>
      <c r="R22" s="598"/>
      <c r="S22" s="598"/>
      <c r="T22" s="598"/>
      <c r="U22" s="598"/>
      <c r="V22" s="598"/>
      <c r="W22" s="598"/>
      <c r="X22" s="598"/>
      <c r="Y22" s="598"/>
      <c r="Z22" s="598"/>
      <c r="AA22" s="598"/>
      <c r="AB22" s="598"/>
      <c r="AC22" s="598"/>
      <c r="AD22" s="598"/>
      <c r="AE22" s="598"/>
      <c r="AF22" s="598"/>
      <c r="AG22" s="598"/>
      <c r="AH22" s="598"/>
      <c r="AI22" s="598"/>
      <c r="AJ22" s="598"/>
      <c r="AK22" s="598"/>
      <c r="AN22" s="600"/>
    </row>
    <row r="23" spans="1:40" ht="14.25">
      <c r="A23" s="1056"/>
      <c r="B23" s="1056"/>
      <c r="C23" s="1056"/>
      <c r="D23" s="598"/>
      <c r="E23" s="598"/>
      <c r="F23" s="598"/>
      <c r="G23" s="598"/>
      <c r="H23" s="598"/>
      <c r="I23" s="598"/>
      <c r="J23" s="598"/>
      <c r="K23" s="598"/>
      <c r="L23" s="598"/>
      <c r="M23" s="598"/>
      <c r="N23" s="598"/>
      <c r="O23" s="598"/>
      <c r="P23" s="598"/>
      <c r="Q23" s="598"/>
      <c r="R23" s="598"/>
      <c r="S23" s="598"/>
      <c r="T23" s="598"/>
      <c r="U23" s="598"/>
      <c r="V23" s="598"/>
      <c r="W23" s="598"/>
      <c r="X23" s="598"/>
      <c r="Y23" s="598"/>
      <c r="Z23" s="598"/>
      <c r="AA23" s="598"/>
      <c r="AB23" s="598"/>
      <c r="AC23" s="598"/>
      <c r="AD23" s="598"/>
      <c r="AE23" s="598"/>
      <c r="AF23" s="598"/>
      <c r="AG23" s="598"/>
      <c r="AH23" s="598"/>
      <c r="AI23" s="598"/>
      <c r="AJ23" s="598"/>
      <c r="AK23" s="598"/>
      <c r="AN23" s="600"/>
    </row>
    <row r="24" spans="1:40" ht="14.25">
      <c r="A24" s="1056"/>
      <c r="B24" s="1056"/>
      <c r="C24" s="1056"/>
      <c r="D24" s="598"/>
      <c r="E24" s="598"/>
      <c r="F24" s="598"/>
      <c r="G24" s="598"/>
      <c r="H24" s="598"/>
      <c r="I24" s="598"/>
      <c r="J24" s="598"/>
      <c r="K24" s="598"/>
      <c r="L24" s="598"/>
      <c r="M24" s="598"/>
      <c r="N24" s="598"/>
      <c r="O24" s="598"/>
      <c r="P24" s="598"/>
      <c r="Q24" s="598"/>
      <c r="R24" s="598"/>
      <c r="S24" s="598"/>
      <c r="T24" s="598"/>
      <c r="U24" s="598"/>
      <c r="V24" s="598"/>
      <c r="W24" s="598"/>
      <c r="X24" s="598"/>
      <c r="Y24" s="598"/>
      <c r="Z24" s="598"/>
      <c r="AA24" s="598"/>
      <c r="AB24" s="598"/>
      <c r="AC24" s="598"/>
      <c r="AD24" s="598"/>
      <c r="AE24" s="598"/>
      <c r="AF24" s="598"/>
      <c r="AG24" s="598"/>
      <c r="AH24" s="598"/>
      <c r="AI24" s="598"/>
      <c r="AJ24" s="598"/>
      <c r="AK24" s="598"/>
      <c r="AN24" s="600"/>
    </row>
    <row r="25" spans="1:40" ht="14.25">
      <c r="A25" s="1056"/>
      <c r="B25" s="1056"/>
      <c r="C25" s="1056"/>
      <c r="D25" s="598"/>
      <c r="E25" s="598"/>
      <c r="F25" s="598"/>
      <c r="G25" s="598"/>
      <c r="H25" s="598"/>
      <c r="I25" s="598"/>
      <c r="J25" s="598"/>
      <c r="K25" s="598"/>
      <c r="L25" s="598"/>
      <c r="M25" s="598"/>
      <c r="N25" s="598"/>
      <c r="O25" s="598"/>
      <c r="P25" s="598"/>
      <c r="Q25" s="598"/>
      <c r="R25" s="598"/>
      <c r="S25" s="598"/>
      <c r="T25" s="598"/>
      <c r="U25" s="598"/>
      <c r="V25" s="598"/>
      <c r="W25" s="598"/>
      <c r="X25" s="598"/>
      <c r="Y25" s="598"/>
      <c r="Z25" s="598"/>
      <c r="AA25" s="598"/>
      <c r="AB25" s="598"/>
      <c r="AC25" s="598"/>
      <c r="AD25" s="598"/>
      <c r="AE25" s="598"/>
      <c r="AF25" s="598"/>
      <c r="AG25" s="598"/>
      <c r="AH25" s="598"/>
      <c r="AI25" s="598"/>
      <c r="AJ25" s="598"/>
      <c r="AK25" s="598"/>
      <c r="AN25" s="600"/>
    </row>
    <row r="26" spans="1:40" ht="14.25">
      <c r="A26" s="1056"/>
      <c r="B26" s="1056"/>
      <c r="C26" s="1056"/>
      <c r="D26" s="598"/>
      <c r="E26" s="598"/>
      <c r="F26" s="598"/>
      <c r="G26" s="598"/>
      <c r="H26" s="598"/>
      <c r="I26" s="598"/>
      <c r="J26" s="598"/>
      <c r="K26" s="598"/>
      <c r="L26" s="598"/>
      <c r="M26" s="598"/>
      <c r="N26" s="598"/>
      <c r="O26" s="598"/>
      <c r="P26" s="598"/>
      <c r="Q26" s="598"/>
      <c r="R26" s="598"/>
      <c r="S26" s="598"/>
      <c r="T26" s="598"/>
      <c r="U26" s="598"/>
      <c r="V26" s="598"/>
      <c r="W26" s="598"/>
      <c r="X26" s="598"/>
      <c r="Y26" s="598"/>
      <c r="Z26" s="598"/>
      <c r="AA26" s="598"/>
      <c r="AB26" s="598"/>
      <c r="AC26" s="598"/>
      <c r="AD26" s="598"/>
      <c r="AE26" s="598"/>
      <c r="AF26" s="598"/>
      <c r="AG26" s="598"/>
      <c r="AH26" s="598"/>
      <c r="AI26" s="598"/>
      <c r="AJ26" s="598"/>
      <c r="AK26" s="598"/>
      <c r="AN26" s="600"/>
    </row>
    <row r="27" spans="1:40" ht="14.25">
      <c r="A27" s="1056"/>
      <c r="B27" s="1056"/>
      <c r="C27" s="1056"/>
      <c r="D27" s="598"/>
      <c r="E27" s="598"/>
      <c r="F27" s="598"/>
      <c r="G27" s="598"/>
      <c r="H27" s="598"/>
      <c r="I27" s="598"/>
      <c r="J27" s="598"/>
      <c r="K27" s="598"/>
      <c r="L27" s="598"/>
      <c r="M27" s="598"/>
      <c r="N27" s="598"/>
      <c r="O27" s="598"/>
      <c r="P27" s="598"/>
      <c r="Q27" s="598"/>
      <c r="R27" s="598"/>
      <c r="S27" s="598"/>
      <c r="T27" s="598"/>
      <c r="U27" s="598"/>
      <c r="V27" s="598"/>
      <c r="W27" s="598"/>
      <c r="X27" s="598"/>
      <c r="Y27" s="598"/>
      <c r="Z27" s="598"/>
      <c r="AA27" s="598"/>
      <c r="AB27" s="598"/>
      <c r="AC27" s="598"/>
      <c r="AD27" s="598"/>
      <c r="AE27" s="598"/>
      <c r="AF27" s="598"/>
      <c r="AG27" s="598"/>
      <c r="AH27" s="598"/>
      <c r="AI27" s="598"/>
      <c r="AJ27" s="598"/>
      <c r="AK27" s="598"/>
      <c r="AN27" s="600"/>
    </row>
    <row r="28" spans="1:40" ht="14.25">
      <c r="A28" s="1056"/>
      <c r="B28" s="1056"/>
      <c r="C28" s="1056"/>
      <c r="D28" s="598"/>
      <c r="E28" s="598"/>
      <c r="F28" s="598"/>
      <c r="G28" s="598"/>
      <c r="H28" s="598"/>
      <c r="I28" s="598"/>
      <c r="J28" s="598"/>
      <c r="K28" s="598"/>
      <c r="L28" s="598"/>
      <c r="M28" s="598"/>
      <c r="N28" s="598"/>
      <c r="O28" s="598"/>
      <c r="P28" s="598"/>
      <c r="Q28" s="598"/>
      <c r="R28" s="598"/>
      <c r="S28" s="598"/>
      <c r="T28" s="598"/>
      <c r="U28" s="598"/>
      <c r="V28" s="598"/>
      <c r="W28" s="598"/>
      <c r="X28" s="598"/>
      <c r="Y28" s="598"/>
      <c r="Z28" s="598"/>
      <c r="AA28" s="598"/>
      <c r="AB28" s="598"/>
      <c r="AC28" s="598"/>
      <c r="AD28" s="598"/>
      <c r="AE28" s="598"/>
      <c r="AF28" s="598"/>
      <c r="AG28" s="598"/>
      <c r="AH28" s="598"/>
      <c r="AI28" s="598"/>
      <c r="AJ28" s="598"/>
      <c r="AK28" s="598"/>
      <c r="AN28" s="600"/>
    </row>
    <row r="29" spans="1:40" ht="14.25">
      <c r="A29" s="1056"/>
      <c r="B29" s="1056"/>
      <c r="C29" s="1056"/>
      <c r="D29" s="598"/>
      <c r="E29" s="598"/>
      <c r="F29" s="598"/>
      <c r="G29" s="598"/>
      <c r="H29" s="598"/>
      <c r="I29" s="598"/>
      <c r="J29" s="598"/>
      <c r="K29" s="598"/>
      <c r="L29" s="598"/>
      <c r="M29" s="598"/>
      <c r="N29" s="598"/>
      <c r="O29" s="598"/>
      <c r="P29" s="598"/>
      <c r="Q29" s="598"/>
      <c r="R29" s="598"/>
      <c r="S29" s="598"/>
      <c r="T29" s="598"/>
      <c r="U29" s="598"/>
      <c r="V29" s="598"/>
      <c r="W29" s="598"/>
      <c r="X29" s="598"/>
      <c r="Y29" s="598"/>
      <c r="Z29" s="598"/>
      <c r="AA29" s="598"/>
      <c r="AB29" s="598"/>
      <c r="AC29" s="598"/>
      <c r="AD29" s="598"/>
      <c r="AE29" s="598"/>
      <c r="AF29" s="598"/>
      <c r="AG29" s="598"/>
      <c r="AH29" s="598"/>
      <c r="AI29" s="598"/>
      <c r="AJ29" s="598"/>
      <c r="AK29" s="598"/>
      <c r="AN29" s="600"/>
    </row>
    <row r="30" spans="1:40" ht="14.25">
      <c r="A30" s="1056"/>
      <c r="B30" s="1056"/>
      <c r="C30" s="1056"/>
      <c r="D30" s="598"/>
      <c r="E30" s="598"/>
      <c r="F30" s="598"/>
      <c r="G30" s="598"/>
      <c r="H30" s="598"/>
      <c r="I30" s="598"/>
      <c r="J30" s="598"/>
      <c r="K30" s="598"/>
      <c r="L30" s="598"/>
      <c r="M30" s="598"/>
      <c r="N30" s="598"/>
      <c r="O30" s="598"/>
      <c r="P30" s="598"/>
      <c r="Q30" s="598"/>
      <c r="R30" s="598"/>
      <c r="S30" s="598"/>
      <c r="T30" s="598"/>
      <c r="U30" s="598"/>
      <c r="V30" s="598"/>
      <c r="W30" s="598"/>
      <c r="X30" s="598"/>
      <c r="Y30" s="598"/>
      <c r="Z30" s="598"/>
      <c r="AA30" s="598"/>
      <c r="AB30" s="598"/>
      <c r="AC30" s="598"/>
      <c r="AD30" s="598"/>
      <c r="AE30" s="598"/>
      <c r="AF30" s="598"/>
      <c r="AG30" s="598"/>
      <c r="AH30" s="598"/>
      <c r="AI30" s="598"/>
      <c r="AJ30" s="598"/>
      <c r="AK30" s="598"/>
      <c r="AN30" s="600"/>
    </row>
    <row r="31" spans="1:40" ht="14.25">
      <c r="A31" s="1056"/>
      <c r="B31" s="1056"/>
      <c r="C31" s="1056"/>
      <c r="D31" s="598"/>
      <c r="E31" s="598"/>
      <c r="F31" s="598"/>
      <c r="G31" s="598"/>
      <c r="H31" s="598"/>
      <c r="I31" s="598"/>
      <c r="J31" s="598"/>
      <c r="K31" s="598"/>
      <c r="L31" s="598"/>
      <c r="M31" s="598"/>
      <c r="N31" s="598"/>
      <c r="O31" s="598"/>
      <c r="P31" s="598"/>
      <c r="Q31" s="598"/>
      <c r="R31" s="598"/>
      <c r="S31" s="598"/>
      <c r="T31" s="598"/>
      <c r="U31" s="598"/>
      <c r="V31" s="598"/>
      <c r="W31" s="598"/>
      <c r="X31" s="598"/>
      <c r="Y31" s="598"/>
      <c r="Z31" s="598"/>
      <c r="AA31" s="598"/>
      <c r="AB31" s="598"/>
      <c r="AC31" s="598"/>
      <c r="AD31" s="598"/>
      <c r="AE31" s="598"/>
      <c r="AF31" s="598"/>
      <c r="AG31" s="598"/>
      <c r="AH31" s="598"/>
      <c r="AI31" s="598"/>
      <c r="AJ31" s="598"/>
      <c r="AK31" s="598"/>
      <c r="AN31" s="600"/>
    </row>
    <row r="32" spans="1:40" ht="14.25">
      <c r="A32" s="1056"/>
      <c r="B32" s="1056"/>
      <c r="C32" s="1056"/>
      <c r="D32" s="598"/>
      <c r="E32" s="598"/>
      <c r="F32" s="598"/>
      <c r="G32" s="598"/>
      <c r="H32" s="598"/>
      <c r="I32" s="598"/>
      <c r="J32" s="598"/>
      <c r="K32" s="598"/>
      <c r="L32" s="598"/>
      <c r="M32" s="598"/>
      <c r="N32" s="598"/>
      <c r="O32" s="598"/>
      <c r="P32" s="598"/>
      <c r="Q32" s="598"/>
      <c r="R32" s="598"/>
      <c r="S32" s="598"/>
      <c r="T32" s="598"/>
      <c r="U32" s="598"/>
      <c r="V32" s="598"/>
      <c r="W32" s="598"/>
      <c r="X32" s="598"/>
      <c r="Y32" s="598"/>
      <c r="Z32" s="598"/>
      <c r="AA32" s="598"/>
      <c r="AB32" s="598"/>
      <c r="AC32" s="598"/>
      <c r="AD32" s="598"/>
      <c r="AE32" s="598"/>
      <c r="AF32" s="598"/>
      <c r="AG32" s="598"/>
      <c r="AH32" s="598"/>
      <c r="AI32" s="598"/>
      <c r="AJ32" s="598"/>
      <c r="AK32" s="598"/>
      <c r="AN32" s="600"/>
    </row>
    <row r="33" spans="1:40" ht="14.25">
      <c r="A33" s="1056"/>
      <c r="B33" s="1056"/>
      <c r="C33" s="1056"/>
      <c r="D33" s="598"/>
      <c r="E33" s="598"/>
      <c r="F33" s="598"/>
      <c r="G33" s="598"/>
      <c r="H33" s="598"/>
      <c r="I33" s="598"/>
      <c r="J33" s="598"/>
      <c r="K33" s="598"/>
      <c r="L33" s="598"/>
      <c r="M33" s="598"/>
      <c r="N33" s="598"/>
      <c r="O33" s="598"/>
      <c r="P33" s="598"/>
      <c r="Q33" s="598"/>
      <c r="R33" s="598"/>
      <c r="S33" s="598"/>
      <c r="T33" s="598"/>
      <c r="U33" s="598"/>
      <c r="V33" s="598"/>
      <c r="W33" s="598"/>
      <c r="X33" s="598"/>
      <c r="Y33" s="598"/>
      <c r="Z33" s="598"/>
      <c r="AA33" s="598"/>
      <c r="AB33" s="598"/>
      <c r="AC33" s="598"/>
      <c r="AD33" s="598"/>
      <c r="AE33" s="598"/>
      <c r="AF33" s="598"/>
      <c r="AG33" s="598"/>
      <c r="AH33" s="598"/>
      <c r="AI33" s="598"/>
      <c r="AJ33" s="598"/>
      <c r="AK33" s="598"/>
      <c r="AN33" s="600"/>
    </row>
    <row r="34" spans="1:40" ht="14.25">
      <c r="A34" s="1056"/>
      <c r="B34" s="1056"/>
      <c r="C34" s="1056"/>
      <c r="D34" s="598"/>
      <c r="E34" s="598"/>
      <c r="F34" s="598"/>
      <c r="G34" s="598"/>
      <c r="H34" s="598"/>
      <c r="I34" s="598"/>
      <c r="J34" s="598"/>
      <c r="K34" s="598"/>
      <c r="L34" s="598"/>
      <c r="M34" s="598"/>
      <c r="N34" s="598"/>
      <c r="O34" s="598"/>
      <c r="P34" s="598"/>
      <c r="Q34" s="598"/>
      <c r="R34" s="598"/>
      <c r="S34" s="598"/>
      <c r="T34" s="598"/>
      <c r="U34" s="598"/>
      <c r="V34" s="598"/>
      <c r="W34" s="598"/>
      <c r="X34" s="598"/>
      <c r="Y34" s="598"/>
      <c r="Z34" s="598"/>
      <c r="AA34" s="598"/>
      <c r="AB34" s="598"/>
      <c r="AC34" s="598"/>
      <c r="AD34" s="598"/>
      <c r="AE34" s="598"/>
      <c r="AF34" s="598"/>
      <c r="AG34" s="598"/>
      <c r="AH34" s="598"/>
      <c r="AI34" s="598"/>
      <c r="AJ34" s="598"/>
      <c r="AK34" s="598"/>
      <c r="AN34" s="600"/>
    </row>
    <row r="35" spans="1:40" ht="3.75" customHeight="1">
      <c r="A35" s="619"/>
      <c r="B35" s="619"/>
      <c r="C35" s="620"/>
      <c r="D35" s="620"/>
      <c r="E35" s="620"/>
      <c r="F35" s="620"/>
      <c r="G35" s="620"/>
      <c r="H35" s="620"/>
      <c r="I35" s="620"/>
      <c r="J35" s="620"/>
      <c r="K35" s="620"/>
      <c r="L35" s="620"/>
      <c r="M35" s="620"/>
      <c r="N35" s="620"/>
      <c r="O35" s="620"/>
      <c r="P35" s="620"/>
      <c r="Q35" s="620"/>
      <c r="R35" s="620"/>
      <c r="S35" s="620"/>
      <c r="T35" s="620"/>
      <c r="U35" s="620"/>
      <c r="V35" s="620"/>
      <c r="W35" s="620"/>
      <c r="X35" s="620"/>
      <c r="Y35" s="620"/>
      <c r="Z35" s="620"/>
      <c r="AA35" s="620"/>
      <c r="AB35" s="620"/>
      <c r="AC35" s="620"/>
      <c r="AD35" s="620"/>
      <c r="AE35" s="620"/>
      <c r="AF35" s="620"/>
      <c r="AG35" s="620"/>
      <c r="AH35" s="620"/>
      <c r="AI35" s="620"/>
      <c r="AJ35" s="620"/>
      <c r="AK35" s="620"/>
      <c r="AL35" s="602"/>
      <c r="AM35" s="602"/>
      <c r="AN35" s="603"/>
    </row>
    <row r="36" spans="1:40" ht="3.75" customHeight="1">
      <c r="A36" s="598"/>
      <c r="B36" s="598"/>
      <c r="C36" s="598"/>
      <c r="D36" s="598"/>
      <c r="E36" s="598"/>
      <c r="F36" s="598"/>
      <c r="G36" s="598"/>
      <c r="H36" s="598"/>
      <c r="I36" s="598"/>
      <c r="J36" s="598"/>
      <c r="K36" s="598"/>
      <c r="L36" s="598"/>
      <c r="M36" s="598"/>
      <c r="N36" s="598"/>
      <c r="O36" s="598"/>
      <c r="P36" s="598"/>
      <c r="Q36" s="598"/>
      <c r="R36" s="598"/>
      <c r="S36" s="598"/>
      <c r="T36" s="598"/>
      <c r="U36" s="598"/>
      <c r="V36" s="598"/>
      <c r="W36" s="598"/>
      <c r="X36" s="598"/>
      <c r="Y36" s="598"/>
      <c r="Z36" s="598"/>
      <c r="AA36" s="598"/>
      <c r="AB36" s="598"/>
      <c r="AC36" s="598"/>
      <c r="AD36" s="598"/>
      <c r="AE36" s="598"/>
      <c r="AF36" s="598"/>
      <c r="AG36" s="598"/>
      <c r="AH36" s="598"/>
      <c r="AI36" s="598"/>
      <c r="AJ36" s="598"/>
      <c r="AK36" s="598"/>
    </row>
    <row r="37" spans="1:40" ht="3.75" customHeight="1">
      <c r="A37" s="598"/>
      <c r="B37" s="598"/>
      <c r="C37" s="598"/>
      <c r="D37" s="598"/>
      <c r="E37" s="598"/>
      <c r="F37" s="598"/>
      <c r="G37" s="598"/>
      <c r="H37" s="598"/>
      <c r="I37" s="598"/>
      <c r="J37" s="598"/>
      <c r="K37" s="598"/>
      <c r="L37" s="598"/>
      <c r="M37" s="598"/>
      <c r="N37" s="598"/>
      <c r="O37" s="598"/>
      <c r="P37" s="598"/>
      <c r="Q37" s="598"/>
      <c r="R37" s="598"/>
      <c r="S37" s="598"/>
      <c r="T37" s="598"/>
      <c r="U37" s="598"/>
      <c r="V37" s="598"/>
      <c r="W37" s="598"/>
      <c r="X37" s="598"/>
      <c r="Y37" s="598"/>
      <c r="Z37" s="598"/>
      <c r="AA37" s="598"/>
      <c r="AB37" s="598"/>
      <c r="AC37" s="598"/>
      <c r="AD37" s="598"/>
      <c r="AE37" s="598"/>
      <c r="AF37" s="598"/>
      <c r="AG37" s="598"/>
      <c r="AH37" s="598"/>
      <c r="AI37" s="598"/>
      <c r="AJ37" s="598"/>
      <c r="AK37" s="598"/>
    </row>
    <row r="38" spans="1:40" ht="3.75" customHeight="1">
      <c r="A38" s="598"/>
      <c r="B38" s="598"/>
      <c r="C38" s="598"/>
      <c r="D38" s="598"/>
      <c r="E38" s="598"/>
      <c r="F38" s="598"/>
      <c r="G38" s="598"/>
      <c r="H38" s="598"/>
      <c r="I38" s="598"/>
      <c r="J38" s="598"/>
      <c r="K38" s="598"/>
      <c r="L38" s="598"/>
      <c r="M38" s="598"/>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8"/>
      <c r="AK38" s="598"/>
    </row>
    <row r="39" spans="1:40" ht="3.75" customHeight="1">
      <c r="A39" s="598"/>
      <c r="B39" s="598"/>
      <c r="C39" s="598"/>
      <c r="D39" s="598"/>
      <c r="E39" s="598"/>
      <c r="F39" s="598"/>
      <c r="G39" s="598"/>
      <c r="H39" s="598"/>
      <c r="I39" s="598"/>
      <c r="J39" s="598"/>
      <c r="K39" s="598"/>
      <c r="L39" s="598"/>
      <c r="M39" s="598"/>
      <c r="N39" s="598"/>
      <c r="O39" s="598"/>
      <c r="P39" s="598"/>
      <c r="Q39" s="598"/>
      <c r="R39" s="598"/>
      <c r="S39" s="598"/>
      <c r="T39" s="598"/>
      <c r="U39" s="598"/>
      <c r="V39" s="598"/>
      <c r="W39" s="598"/>
      <c r="X39" s="598"/>
      <c r="Y39" s="598"/>
      <c r="Z39" s="598"/>
      <c r="AA39" s="598"/>
      <c r="AB39" s="598"/>
      <c r="AC39" s="598"/>
      <c r="AD39" s="598"/>
      <c r="AE39" s="598"/>
      <c r="AF39" s="598"/>
      <c r="AG39" s="598"/>
      <c r="AH39" s="598"/>
      <c r="AI39" s="598"/>
      <c r="AJ39" s="598"/>
      <c r="AK39" s="598"/>
    </row>
    <row r="40" spans="1:40" ht="3.75" customHeight="1">
      <c r="A40" s="598"/>
      <c r="B40" s="598"/>
      <c r="C40" s="598"/>
      <c r="D40" s="598"/>
      <c r="E40" s="598"/>
      <c r="F40" s="598"/>
      <c r="G40" s="598"/>
      <c r="H40" s="598"/>
      <c r="I40" s="598"/>
      <c r="J40" s="598"/>
      <c r="K40" s="598"/>
      <c r="L40" s="598"/>
      <c r="M40" s="598"/>
      <c r="N40" s="598"/>
      <c r="O40" s="598"/>
      <c r="P40" s="598"/>
      <c r="Q40" s="598"/>
      <c r="R40" s="598"/>
      <c r="S40" s="598"/>
      <c r="T40" s="598"/>
      <c r="U40" s="598"/>
      <c r="V40" s="598"/>
      <c r="W40" s="598"/>
      <c r="X40" s="598"/>
      <c r="Y40" s="598"/>
      <c r="Z40" s="598"/>
      <c r="AA40" s="598"/>
      <c r="AB40" s="598"/>
      <c r="AC40" s="598"/>
      <c r="AD40" s="598"/>
      <c r="AE40" s="598"/>
      <c r="AF40" s="598"/>
      <c r="AG40" s="598"/>
      <c r="AH40" s="598"/>
      <c r="AI40" s="598"/>
      <c r="AJ40" s="598"/>
      <c r="AK40" s="598"/>
    </row>
    <row r="41" spans="1:40" ht="3.75" customHeight="1">
      <c r="A41" s="598"/>
      <c r="B41" s="598"/>
      <c r="C41" s="598"/>
      <c r="D41" s="598"/>
      <c r="E41" s="598"/>
      <c r="F41" s="598"/>
      <c r="G41" s="598"/>
      <c r="H41" s="598"/>
      <c r="I41" s="598"/>
      <c r="J41" s="598"/>
      <c r="K41" s="598"/>
      <c r="L41" s="598"/>
      <c r="M41" s="598"/>
      <c r="N41" s="598"/>
      <c r="O41" s="598"/>
      <c r="P41" s="598"/>
      <c r="Q41" s="598"/>
      <c r="R41" s="598"/>
      <c r="S41" s="598"/>
      <c r="T41" s="598"/>
      <c r="U41" s="598"/>
      <c r="V41" s="598"/>
      <c r="W41" s="598"/>
      <c r="X41" s="598"/>
      <c r="Y41" s="598"/>
      <c r="Z41" s="598"/>
      <c r="AA41" s="598"/>
      <c r="AB41" s="598"/>
      <c r="AC41" s="598"/>
      <c r="AD41" s="598"/>
      <c r="AE41" s="598"/>
      <c r="AF41" s="598"/>
      <c r="AG41" s="598"/>
      <c r="AH41" s="598"/>
      <c r="AI41" s="598"/>
      <c r="AJ41" s="598"/>
      <c r="AK41" s="598"/>
    </row>
    <row r="42" spans="1:40" ht="3.75" customHeight="1">
      <c r="A42" s="598"/>
      <c r="B42" s="598"/>
      <c r="C42" s="598"/>
      <c r="D42" s="598"/>
      <c r="E42" s="598"/>
      <c r="F42" s="598"/>
      <c r="G42" s="598"/>
      <c r="H42" s="598"/>
      <c r="I42" s="598"/>
      <c r="J42" s="598"/>
      <c r="K42" s="598"/>
      <c r="L42" s="598"/>
      <c r="M42" s="598"/>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8"/>
      <c r="AK42" s="598"/>
    </row>
    <row r="43" spans="1:40" ht="3.75" customHeight="1">
      <c r="A43" s="598"/>
      <c r="B43" s="598"/>
      <c r="C43" s="598"/>
      <c r="D43" s="598"/>
      <c r="E43" s="598"/>
      <c r="F43" s="598"/>
      <c r="G43" s="598"/>
      <c r="H43" s="598"/>
      <c r="I43" s="598"/>
      <c r="J43" s="598"/>
      <c r="K43" s="598"/>
      <c r="L43" s="598"/>
      <c r="M43" s="598"/>
      <c r="N43" s="598"/>
      <c r="O43" s="598"/>
      <c r="P43" s="598"/>
      <c r="Q43" s="598"/>
      <c r="R43" s="598"/>
      <c r="S43" s="598"/>
      <c r="T43" s="598"/>
      <c r="U43" s="598"/>
      <c r="V43" s="598"/>
      <c r="W43" s="598"/>
      <c r="X43" s="598"/>
      <c r="Y43" s="598"/>
      <c r="Z43" s="598"/>
      <c r="AA43" s="598"/>
      <c r="AB43" s="598"/>
      <c r="AC43" s="598"/>
      <c r="AD43" s="598"/>
      <c r="AE43" s="598"/>
      <c r="AF43" s="598"/>
      <c r="AG43" s="598"/>
      <c r="AH43" s="598"/>
      <c r="AI43" s="598"/>
      <c r="AJ43" s="598"/>
      <c r="AK43" s="598"/>
    </row>
  </sheetData>
  <mergeCells count="32">
    <mergeCell ref="I2:AJ5"/>
    <mergeCell ref="A7:C8"/>
    <mergeCell ref="H7:M7"/>
    <mergeCell ref="Q7:Z7"/>
    <mergeCell ref="AD7:AI7"/>
    <mergeCell ref="H8:M8"/>
    <mergeCell ref="Q8:Z8"/>
    <mergeCell ref="AD8:AI8"/>
    <mergeCell ref="A22:C22"/>
    <mergeCell ref="AL8:AN8"/>
    <mergeCell ref="A9:C9"/>
    <mergeCell ref="A13:C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s>
  <conditionalFormatting sqref="X14:AJ14 Z13:AJ13 AK10:AK12 D13:U14">
    <cfRule type="cellIs" dxfId="4" priority="3" stopIfTrue="1" operator="equal">
      <formula>0</formula>
    </cfRule>
  </conditionalFormatting>
  <conditionalFormatting sqref="A15 AL15:AML15">
    <cfRule type="cellIs" dxfId="3" priority="4" stopIfTrue="1" operator="equal">
      <formula>ISNA(C15)</formula>
    </cfRule>
  </conditionalFormatting>
  <conditionalFormatting sqref="X15:AK15 D15:U15">
    <cfRule type="expression" dxfId="2" priority="5" stopIfTrue="1">
      <formula>ISNA(D15)</formula>
    </cfRule>
  </conditionalFormatting>
  <conditionalFormatting sqref="V14:W14 V13:Y13">
    <cfRule type="cellIs" dxfId="1" priority="1" stopIfTrue="1" operator="equal">
      <formula>0</formula>
    </cfRule>
  </conditionalFormatting>
  <conditionalFormatting sqref="V15:W15">
    <cfRule type="expression" dxfId="0" priority="2" stopIfTrue="1">
      <formula>ISNA(V15)</formula>
    </cfRule>
  </conditionalFormatting>
  <printOptions horizontalCentered="1"/>
  <pageMargins left="0.511811023622047" right="0.511811023622047" top="1.201181102362205" bottom="0.511811023622047" header="0.90551181102362199" footer="0.511811023622047"/>
  <pageSetup paperSize="0" fitToWidth="0" fitToHeight="0" pageOrder="overThenDown" orientation="landscape" horizontalDpi="0" verticalDpi="0" copies="0"/>
  <headerFooter alignWithMargins="0">
    <oddFooter>&amp;L&amp;9File: &amp;F&amp;R&amp;9Page &amp;P of &amp;N</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Delovni listi</vt:lpstr>
      </vt:variant>
      <vt:variant>
        <vt:i4>22</vt:i4>
      </vt:variant>
      <vt:variant>
        <vt:lpstr>Imenovani obsegi</vt:lpstr>
      </vt:variant>
      <vt:variant>
        <vt:i4>18</vt:i4>
      </vt:variant>
    </vt:vector>
  </HeadingPairs>
  <TitlesOfParts>
    <vt:vector size="40" baseType="lpstr">
      <vt:lpstr>PtFMEA</vt:lpstr>
      <vt:lpstr>DFMEA</vt:lpstr>
      <vt:lpstr>PFMEA</vt:lpstr>
      <vt:lpstr>SFMEA</vt:lpstr>
      <vt:lpstr>SWFMEA</vt:lpstr>
      <vt:lpstr>OFMEA</vt:lpstr>
      <vt:lpstr>Product FMEA</vt:lpstr>
      <vt:lpstr>AAR</vt:lpstr>
      <vt:lpstr>ControlPlan</vt:lpstr>
      <vt:lpstr>APQP</vt:lpstr>
      <vt:lpstr>Open Issues</vt:lpstr>
      <vt:lpstr>Meeting Log</vt:lpstr>
      <vt:lpstr>Definitions</vt:lpstr>
      <vt:lpstr>InternalToolValidation</vt:lpstr>
      <vt:lpstr>InternalToolValidationExplain</vt:lpstr>
      <vt:lpstr>SME</vt:lpstr>
      <vt:lpstr>MSA2</vt:lpstr>
      <vt:lpstr>SIMBOL</vt:lpstr>
      <vt:lpstr>8D-EN</vt:lpstr>
      <vt:lpstr>Instructions</vt:lpstr>
      <vt:lpstr>Pareto</vt:lpstr>
      <vt:lpstr>Failure_Accumulation_Chart</vt:lpstr>
      <vt:lpstr>APQP!Excel_BuiltIn__FilterDatabase</vt:lpstr>
      <vt:lpstr>Failure_Accumulation_Chart!Excel_BuiltIn__FilterDatabase</vt:lpstr>
      <vt:lpstr>'8D-EN'!Področje_tiskanja</vt:lpstr>
      <vt:lpstr>ControlPlan!Področje_tiskanja</vt:lpstr>
      <vt:lpstr>Definitions!Področje_tiskanja</vt:lpstr>
      <vt:lpstr>DFMEA!Področje_tiskanja</vt:lpstr>
      <vt:lpstr>Failure_Accumulation_Chart!Področje_tiskanja</vt:lpstr>
      <vt:lpstr>Instructions!Področje_tiskanja</vt:lpstr>
      <vt:lpstr>'Meeting Log'!Področje_tiskanja</vt:lpstr>
      <vt:lpstr>OFMEA!Področje_tiskanja</vt:lpstr>
      <vt:lpstr>'Open Issues'!Področje_tiskanja</vt:lpstr>
      <vt:lpstr>PFMEA!Področje_tiskanja</vt:lpstr>
      <vt:lpstr>'Product FMEA'!Področje_tiskanja</vt:lpstr>
      <vt:lpstr>PtFMEA!Področje_tiskanja</vt:lpstr>
      <vt:lpstr>SFMEA!Področje_tiskanja</vt:lpstr>
      <vt:lpstr>SWFMEA!Področje_tiskanja</vt:lpstr>
      <vt:lpstr>Failure_Accumulation_Chart!Z_B7EBDD6B_DBE1_4AB4_B69E_E9DA0E6BC748_.wvu.FilterData</vt:lpstr>
      <vt:lpstr>Failure_Accumulation_Chart!Z_B7EBDD6B_DBE1_4AB4_B69E_E9DA0E6BC748_.wvu.PrintArea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JanezPC</dc:creator>
  <cp:lastModifiedBy>Janez Jurančič</cp:lastModifiedBy>
  <dcterms:created xsi:type="dcterms:W3CDTF">2017-08-17T11:05:49Z</dcterms:created>
  <dcterms:modified xsi:type="dcterms:W3CDTF">2020-12-06T20:01:29Z</dcterms:modified>
</cp:coreProperties>
</file>